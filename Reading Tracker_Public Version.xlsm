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12"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C:\Users\adang\Documents\OneDrive\Dokumen\Courses\Spreadsheet\"/>
    </mc:Choice>
  </mc:AlternateContent>
  <xr:revisionPtr revIDLastSave="0" documentId="13_ncr:1_{E02C7101-FBEB-4560-8892-9E337CAD8FDC}" xr6:coauthVersionLast="47" xr6:coauthVersionMax="47" xr10:uidLastSave="{00000000-0000-0000-0000-000000000000}"/>
  <bookViews>
    <workbookView xWindow="-110" yWindow="-110" windowWidth="19420" windowHeight="10300" firstSheet="2" activeTab="2" xr2:uid="{EB085F53-BCF8-4516-A1A5-16C8DC0CDC97}"/>
  </bookViews>
  <sheets>
    <sheet name="Dashboard" sheetId="6" r:id="rId1"/>
    <sheet name="Pivot Table" sheetId="8" state="hidden" r:id="rId2"/>
    <sheet name="Reading Tracker" sheetId="1" r:id="rId3"/>
  </sheets>
  <externalReferences>
    <externalReference r:id="rId4"/>
  </externalReferences>
  <definedNames>
    <definedName name="_xlnm._FilterDatabase" localSheetId="2" hidden="1">'Reading Tracker'!$C$1:$S$1</definedName>
    <definedName name="Slicer_CATEGORY">#N/A</definedName>
    <definedName name="Slicer_Years">#N/A</definedName>
  </definedNames>
  <calcPr calcId="191028"/>
  <pivotCaches>
    <pivotCache cacheId="913"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7" i="1" l="1"/>
  <c r="L17" i="1"/>
  <c r="O17" i="1"/>
  <c r="P17" i="1"/>
  <c r="Q17" i="1" s="1"/>
  <c r="S17" i="1"/>
  <c r="J16" i="1"/>
  <c r="O16" i="1" s="1"/>
  <c r="L16" i="1"/>
  <c r="P16" i="1"/>
  <c r="Q16" i="1" s="1"/>
  <c r="S16" i="1"/>
  <c r="J2" i="1"/>
  <c r="O2" i="1" s="1"/>
  <c r="J3" i="1"/>
  <c r="O3" i="1" s="1"/>
  <c r="J4" i="1"/>
  <c r="J5" i="1"/>
  <c r="O5" i="1" s="1"/>
  <c r="J6" i="1"/>
  <c r="O6" i="1" s="1"/>
  <c r="J7" i="1"/>
  <c r="O7" i="1" s="1"/>
  <c r="J8" i="1"/>
  <c r="J9" i="1"/>
  <c r="O9" i="1" s="1"/>
  <c r="J10" i="1"/>
  <c r="O10" i="1" s="1"/>
  <c r="J11" i="1"/>
  <c r="O11" i="1" s="1"/>
  <c r="J12" i="1"/>
  <c r="J13" i="1"/>
  <c r="O13" i="1" s="1"/>
  <c r="J14" i="1"/>
  <c r="O14" i="1" s="1"/>
  <c r="J15" i="1"/>
  <c r="O15" i="1" s="1"/>
  <c r="O4" i="1"/>
  <c r="O8" i="1"/>
  <c r="O12" i="1"/>
  <c r="P3" i="1" l="1"/>
  <c r="P4" i="1"/>
  <c r="Q4" i="1" s="1"/>
  <c r="P5" i="1"/>
  <c r="Q5" i="1" s="1"/>
  <c r="P6" i="1"/>
  <c r="Q6" i="1" s="1"/>
  <c r="P7" i="1"/>
  <c r="Q7" i="1" s="1"/>
  <c r="P8" i="1"/>
  <c r="Q8" i="1" s="1"/>
  <c r="P9" i="1"/>
  <c r="Q9" i="1" s="1"/>
  <c r="P10" i="1"/>
  <c r="P11" i="1"/>
  <c r="Q11" i="1" s="1"/>
  <c r="P12" i="1"/>
  <c r="Q12" i="1" s="1"/>
  <c r="P13" i="1"/>
  <c r="Q13" i="1" s="1"/>
  <c r="P14" i="1"/>
  <c r="Q14" i="1" s="1"/>
  <c r="P15" i="1"/>
  <c r="Q15" i="1" s="1"/>
  <c r="P2" i="1"/>
  <c r="Q2" i="1" s="1"/>
  <c r="L3" i="1"/>
  <c r="L4" i="1"/>
  <c r="L5" i="1"/>
  <c r="L6" i="1"/>
  <c r="L7" i="1"/>
  <c r="L8" i="1"/>
  <c r="L9" i="1"/>
  <c r="L10" i="1"/>
  <c r="L11" i="1"/>
  <c r="L12" i="1"/>
  <c r="L13" i="1"/>
  <c r="L14" i="1"/>
  <c r="L15" i="1"/>
  <c r="L2" i="1"/>
  <c r="A2" i="6"/>
  <c r="S13" i="1"/>
  <c r="S14" i="1"/>
  <c r="S15" i="1"/>
  <c r="A1" i="1"/>
  <c r="A12" i="6"/>
  <c r="S12" i="1"/>
  <c r="S7" i="1"/>
  <c r="S9" i="1"/>
  <c r="S11" i="1"/>
  <c r="S6" i="1"/>
  <c r="S10" i="1"/>
  <c r="S3" i="1"/>
  <c r="S8" i="1"/>
  <c r="S4" i="1"/>
  <c r="S5" i="1"/>
  <c r="S2" i="1"/>
  <c r="Q3" i="1"/>
  <c r="F6" i="6"/>
  <c r="G6" i="6"/>
  <c r="M16" i="1" l="1"/>
  <c r="N16" i="1" s="1"/>
  <c r="M17" i="1"/>
  <c r="N17" i="1" s="1"/>
  <c r="M3" i="1"/>
  <c r="N3" i="1" s="1"/>
  <c r="M7" i="1"/>
  <c r="N7" i="1" s="1"/>
  <c r="M11" i="1"/>
  <c r="N11" i="1" s="1"/>
  <c r="M15" i="1"/>
  <c r="N15" i="1" s="1"/>
  <c r="M5" i="1"/>
  <c r="N5" i="1" s="1"/>
  <c r="M13" i="1"/>
  <c r="N13" i="1" s="1"/>
  <c r="M4" i="1"/>
  <c r="N4" i="1" s="1"/>
  <c r="M8" i="1"/>
  <c r="N8" i="1" s="1"/>
  <c r="M12" i="1"/>
  <c r="N12" i="1" s="1"/>
  <c r="M9" i="1"/>
  <c r="M6" i="1"/>
  <c r="N6" i="1" s="1"/>
  <c r="M10" i="1"/>
  <c r="N10" i="1" s="1"/>
  <c r="M14" i="1"/>
  <c r="N14" i="1" s="1"/>
  <c r="M2" i="1"/>
  <c r="Q10" i="1"/>
  <c r="N2" i="1"/>
  <c r="N9" i="1" l="1"/>
  <c r="C3" i="1" l="1"/>
  <c r="C4" i="1" s="1"/>
  <c r="C5" i="1" s="1"/>
  <c r="C6" i="1" s="1"/>
  <c r="C7" i="1" s="1"/>
  <c r="C8" i="1" s="1"/>
  <c r="C9" i="1" s="1"/>
  <c r="C10" i="1" s="1"/>
  <c r="C11" i="1" s="1"/>
  <c r="C12" i="1" s="1"/>
  <c r="C13" i="1" s="1"/>
  <c r="C14" i="1" s="1"/>
  <c r="C15" i="1" s="1"/>
  <c r="C16" i="1" s="1"/>
  <c r="C17" i="1" s="1"/>
</calcChain>
</file>

<file path=xl/sharedStrings.xml><?xml version="1.0" encoding="utf-8"?>
<sst xmlns="http://schemas.openxmlformats.org/spreadsheetml/2006/main" count="141" uniqueCount="74">
  <si>
    <t>BOOKS TRACKER DASHBOARD</t>
  </si>
  <si>
    <t>DASHBOARD</t>
  </si>
  <si>
    <t>READING TRACKER</t>
  </si>
  <si>
    <t>TOTAL READ PAGES</t>
  </si>
  <si>
    <t>BOOKS /CATEGORY</t>
  </si>
  <si>
    <t>STATUS</t>
  </si>
  <si>
    <t>ON GOING</t>
  </si>
  <si>
    <t>TITLE</t>
  </si>
  <si>
    <t>TARGET TODAY</t>
  </si>
  <si>
    <t>% PROGRESS</t>
  </si>
  <si>
    <t>Book 15</t>
  </si>
  <si>
    <t>TODAY</t>
  </si>
  <si>
    <t>Book 16</t>
  </si>
  <si>
    <t>Book 17</t>
  </si>
  <si>
    <t>Book 18</t>
  </si>
  <si>
    <t>FINISH</t>
  </si>
  <si>
    <t>Sum of PROGRESS</t>
  </si>
  <si>
    <t>Row Labels</t>
  </si>
  <si>
    <t>Count of CATEGORY</t>
  </si>
  <si>
    <t>Sum of TOTAL PAGES</t>
  </si>
  <si>
    <t>Column Labels</t>
  </si>
  <si>
    <t>2021</t>
  </si>
  <si>
    <t>Academic</t>
  </si>
  <si>
    <t>Financial</t>
  </si>
  <si>
    <t>Personal</t>
  </si>
  <si>
    <t>Feb</t>
  </si>
  <si>
    <t>Apr</t>
  </si>
  <si>
    <t>2022</t>
  </si>
  <si>
    <t>May</t>
  </si>
  <si>
    <t>Oct</t>
  </si>
  <si>
    <t>Nov</t>
  </si>
  <si>
    <t>Jan</t>
  </si>
  <si>
    <t>Dec</t>
  </si>
  <si>
    <t>NO</t>
  </si>
  <si>
    <t>AUTHOR</t>
  </si>
  <si>
    <t>TOTAL PAGES</t>
  </si>
  <si>
    <t>PROGRESS</t>
  </si>
  <si>
    <t>START</t>
  </si>
  <si>
    <t>DURATION</t>
  </si>
  <si>
    <t>TARGET FINISH</t>
  </si>
  <si>
    <t>CATEGORY</t>
  </si>
  <si>
    <t>REST</t>
  </si>
  <si>
    <t>PAGES/DAY</t>
  </si>
  <si>
    <t>TODAY'S TARGET</t>
  </si>
  <si>
    <t>AVG READ/DAY</t>
  </si>
  <si>
    <t>%</t>
  </si>
  <si>
    <t>FORMAT</t>
  </si>
  <si>
    <t>LINK</t>
  </si>
  <si>
    <t>Book 1</t>
  </si>
  <si>
    <t>Author 1</t>
  </si>
  <si>
    <t>EBOOK</t>
  </si>
  <si>
    <t>Book 9</t>
  </si>
  <si>
    <t>Author 9</t>
  </si>
  <si>
    <t>BOOK</t>
  </si>
  <si>
    <t>Book 4</t>
  </si>
  <si>
    <t>Author 4</t>
  </si>
  <si>
    <t>Book 3</t>
  </si>
  <si>
    <t>Author 3</t>
  </si>
  <si>
    <t>Book 10</t>
  </si>
  <si>
    <t>Author 10</t>
  </si>
  <si>
    <t>Author 15</t>
  </si>
  <si>
    <t>Book 5</t>
  </si>
  <si>
    <t>Author 5</t>
  </si>
  <si>
    <t>Author 16</t>
  </si>
  <si>
    <t>Book 8</t>
  </si>
  <si>
    <t>Author 8</t>
  </si>
  <si>
    <t>Book 7</t>
  </si>
  <si>
    <t>Author 7</t>
  </si>
  <si>
    <t>Book 13</t>
  </si>
  <si>
    <t>Author 13</t>
  </si>
  <si>
    <t>Book 14</t>
  </si>
  <si>
    <t>Author 14</t>
  </si>
  <si>
    <t>Author 17</t>
  </si>
  <si>
    <t>Author 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</si>
</sst>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numFmts>
  <fonts count="18">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charset val="1"/>
      <scheme val="minor"/>
    </font>
    <font>
      <b/>
      <sz val="12"/>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b/>
      <sz val="10"/>
      <color theme="0"/>
      <name val="Calibri"/>
      <family val="2"/>
      <scheme val="minor"/>
    </font>
    <font>
      <b/>
      <sz val="14"/>
      <color theme="0"/>
      <name val="Calibri"/>
      <family val="2"/>
      <scheme val="minor"/>
    </font>
    <font>
      <b/>
      <sz val="20"/>
      <color theme="0"/>
      <name val="Calibri"/>
      <family val="2"/>
      <scheme val="minor"/>
    </font>
    <font>
      <b/>
      <sz val="12"/>
      <color rgb="FF1A3151"/>
      <name val="Calibri"/>
      <family val="2"/>
      <scheme val="minor"/>
    </font>
    <font>
      <b/>
      <sz val="14"/>
      <color rgb="FF1A3151"/>
      <name val="Calibri"/>
      <family val="2"/>
      <scheme val="minor"/>
    </font>
    <font>
      <b/>
      <sz val="10"/>
      <color theme="1"/>
      <name val="Calibri"/>
      <family val="2"/>
      <scheme val="minor"/>
    </font>
    <font>
      <sz val="8"/>
      <name val="Calibri"/>
      <family val="2"/>
      <scheme val="minor"/>
    </font>
    <font>
      <b/>
      <sz val="36"/>
      <color rgb="FF130051"/>
      <name val="Calibri"/>
      <family val="2"/>
      <scheme val="minor"/>
    </font>
    <font>
      <b/>
      <sz val="28"/>
      <color rgb="FF13005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1A3151"/>
        <bgColor indexed="64"/>
      </patternFill>
    </fill>
    <fill>
      <patternFill patternType="solid">
        <fgColor rgb="FF00B050"/>
        <bgColor indexed="64"/>
      </patternFill>
    </fill>
    <fill>
      <patternFill patternType="solid">
        <fgColor rgb="FF13005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0" fontId="3" fillId="0" borderId="0" applyNumberFormat="0" applyFill="0" applyBorder="0" applyAlignment="0" applyProtection="0"/>
    <xf numFmtId="0" fontId="4" fillId="0" borderId="0"/>
  </cellStyleXfs>
  <cellXfs count="59">
    <xf numFmtId="0" fontId="0" fillId="0" borderId="0" xfId="0"/>
    <xf numFmtId="0" fontId="2" fillId="2" borderId="1" xfId="2" applyFont="1" applyFill="1" applyBorder="1"/>
    <xf numFmtId="0" fontId="0" fillId="0" borderId="0" xfId="0" pivotButton="1"/>
    <xf numFmtId="0" fontId="0" fillId="0" borderId="0" xfId="0" applyAlignment="1">
      <alignment horizontal="left"/>
    </xf>
    <xf numFmtId="0" fontId="4" fillId="0" borderId="1" xfId="2" applyBorder="1" applyAlignment="1">
      <alignment horizontal="center"/>
    </xf>
    <xf numFmtId="164" fontId="4" fillId="0" borderId="1" xfId="2" applyNumberFormat="1" applyBorder="1" applyAlignment="1">
      <alignment horizontal="center"/>
    </xf>
    <xf numFmtId="0" fontId="4" fillId="0" borderId="1" xfId="2" applyBorder="1"/>
    <xf numFmtId="0" fontId="2" fillId="0" borderId="1" xfId="2" applyFont="1" applyBorder="1"/>
    <xf numFmtId="9" fontId="8" fillId="2" borderId="1" xfId="2" applyNumberFormat="1" applyFont="1" applyFill="1" applyBorder="1" applyAlignment="1">
      <alignment horizontal="center"/>
    </xf>
    <xf numFmtId="0" fontId="0" fillId="0" borderId="1" xfId="0" applyBorder="1" applyAlignment="1">
      <alignment horizontal="center" vertical="center"/>
    </xf>
    <xf numFmtId="0" fontId="6" fillId="3" borderId="0" xfId="0" applyFont="1" applyFill="1"/>
    <xf numFmtId="0" fontId="6" fillId="3" borderId="0" xfId="0" applyFont="1" applyFill="1" applyAlignment="1">
      <alignment horizontal="center"/>
    </xf>
    <xf numFmtId="0" fontId="12" fillId="3" borderId="0" xfId="2" applyFont="1" applyFill="1" applyAlignment="1">
      <alignment horizontal="center"/>
    </xf>
    <xf numFmtId="14" fontId="13" fillId="3" borderId="0" xfId="2" applyNumberFormat="1" applyFont="1" applyFill="1" applyAlignment="1">
      <alignment horizontal="center" vertical="center"/>
    </xf>
    <xf numFmtId="0" fontId="11" fillId="3" borderId="0" xfId="0" applyFont="1" applyFill="1" applyAlignment="1">
      <alignment vertical="center"/>
    </xf>
    <xf numFmtId="0" fontId="0" fillId="0" borderId="0" xfId="0" applyAlignment="1">
      <alignment horizontal="left" indent="1"/>
    </xf>
    <xf numFmtId="0" fontId="9" fillId="5" borderId="1" xfId="0" applyFont="1" applyFill="1" applyBorder="1" applyAlignment="1">
      <alignment horizontal="center" vertical="center"/>
    </xf>
    <xf numFmtId="1" fontId="0" fillId="0" borderId="1" xfId="0" applyNumberFormat="1" applyBorder="1" applyAlignment="1">
      <alignment horizontal="center" vertical="center"/>
    </xf>
    <xf numFmtId="9" fontId="0" fillId="0" borderId="1" xfId="0" applyNumberFormat="1" applyBorder="1" applyAlignment="1">
      <alignment horizontal="center" vertical="center"/>
    </xf>
    <xf numFmtId="0" fontId="0" fillId="0" borderId="1" xfId="0" pivotButton="1" applyBorder="1" applyAlignment="1">
      <alignment horizontal="center" vertical="center"/>
    </xf>
    <xf numFmtId="0" fontId="14" fillId="0" borderId="1" xfId="0" applyFont="1" applyBorder="1" applyAlignment="1">
      <alignment horizontal="center" vertical="center"/>
    </xf>
    <xf numFmtId="0" fontId="7" fillId="3" borderId="1" xfId="0" applyFont="1" applyFill="1" applyBorder="1" applyAlignment="1">
      <alignment horizontal="center" vertical="center"/>
    </xf>
    <xf numFmtId="0" fontId="7" fillId="4" borderId="1" xfId="0" applyFont="1" applyFill="1" applyBorder="1" applyAlignment="1">
      <alignment horizontal="center" vertical="center"/>
    </xf>
    <xf numFmtId="164" fontId="7" fillId="4" borderId="1" xfId="0" applyNumberFormat="1" applyFont="1" applyFill="1" applyBorder="1" applyAlignment="1">
      <alignment horizontal="center" vertical="center"/>
    </xf>
    <xf numFmtId="0" fontId="5" fillId="0" borderId="1" xfId="2" applyFont="1" applyBorder="1" applyAlignment="1">
      <alignment horizontal="center"/>
    </xf>
    <xf numFmtId="0" fontId="2" fillId="2" borderId="1" xfId="2" applyFont="1" applyFill="1" applyBorder="1" applyAlignment="1">
      <alignment horizontal="left" vertical="center"/>
    </xf>
    <xf numFmtId="0" fontId="1" fillId="2" borderId="1" xfId="2" applyFont="1" applyFill="1" applyBorder="1" applyAlignment="1">
      <alignment horizontal="left" vertical="center"/>
    </xf>
    <xf numFmtId="0" fontId="4" fillId="0" borderId="1" xfId="2" applyBorder="1" applyAlignment="1">
      <alignment horizontal="left" vertical="center"/>
    </xf>
    <xf numFmtId="0" fontId="2" fillId="0" borderId="1" xfId="2" applyFont="1" applyBorder="1" applyAlignment="1">
      <alignment horizontal="left" vertical="center"/>
    </xf>
    <xf numFmtId="0" fontId="4" fillId="0" borderId="1" xfId="2" applyBorder="1" applyAlignment="1">
      <alignment horizontal="center" vertical="center"/>
    </xf>
    <xf numFmtId="0" fontId="4" fillId="0" borderId="4" xfId="2" applyBorder="1" applyAlignment="1">
      <alignment horizontal="center"/>
    </xf>
    <xf numFmtId="0" fontId="4" fillId="0" borderId="3" xfId="2" applyBorder="1" applyAlignment="1">
      <alignment horizontal="center" vertical="center"/>
    </xf>
    <xf numFmtId="1" fontId="7" fillId="4" borderId="1" xfId="0" applyNumberFormat="1" applyFont="1" applyFill="1" applyBorder="1" applyAlignment="1">
      <alignment horizontal="center" vertical="center"/>
    </xf>
    <xf numFmtId="1" fontId="4" fillId="0" borderId="1" xfId="2" applyNumberFormat="1" applyBorder="1" applyAlignment="1">
      <alignment horizontal="center"/>
    </xf>
    <xf numFmtId="0" fontId="0" fillId="0" borderId="0" xfId="0" applyAlignment="1">
      <alignment horizontal="center"/>
    </xf>
    <xf numFmtId="0" fontId="16" fillId="0" borderId="0" xfId="0" applyFont="1" applyAlignment="1">
      <alignment vertical="center"/>
    </xf>
    <xf numFmtId="0" fontId="9" fillId="3" borderId="2" xfId="2" applyFont="1" applyFill="1" applyBorder="1" applyAlignment="1">
      <alignment horizontal="center" vertical="center"/>
    </xf>
    <xf numFmtId="0" fontId="9" fillId="3" borderId="2" xfId="2" applyFont="1" applyFill="1" applyBorder="1" applyAlignment="1">
      <alignment vertical="center"/>
    </xf>
    <xf numFmtId="0" fontId="17" fillId="0" borderId="5" xfId="0" applyFont="1" applyBorder="1" applyAlignment="1">
      <alignment vertical="center"/>
    </xf>
    <xf numFmtId="0" fontId="17" fillId="0" borderId="0" xfId="0" applyFont="1" applyAlignment="1">
      <alignment vertical="center"/>
    </xf>
    <xf numFmtId="0" fontId="1" fillId="2" borderId="1" xfId="2" applyFont="1" applyFill="1" applyBorder="1" applyAlignment="1">
      <alignment horizontal="center"/>
    </xf>
    <xf numFmtId="0" fontId="1" fillId="2" borderId="1" xfId="2" applyFont="1" applyFill="1" applyBorder="1"/>
    <xf numFmtId="0" fontId="1" fillId="0" borderId="1" xfId="2" applyFont="1" applyBorder="1" applyAlignment="1">
      <alignment horizontal="center"/>
    </xf>
    <xf numFmtId="164" fontId="1" fillId="0" borderId="1" xfId="2" applyNumberFormat="1" applyFont="1" applyBorder="1" applyAlignment="1">
      <alignment horizontal="center"/>
    </xf>
    <xf numFmtId="1" fontId="1" fillId="2" borderId="1" xfId="2" applyNumberFormat="1" applyFont="1" applyFill="1" applyBorder="1" applyAlignment="1">
      <alignment horizontal="center" vertical="center"/>
    </xf>
    <xf numFmtId="1" fontId="1" fillId="2" borderId="1" xfId="2" applyNumberFormat="1" applyFont="1" applyFill="1" applyBorder="1" applyAlignment="1">
      <alignment horizontal="center"/>
    </xf>
    <xf numFmtId="0" fontId="1" fillId="2" borderId="1" xfId="2" applyFont="1" applyFill="1" applyBorder="1" applyAlignment="1">
      <alignment horizontal="center" vertical="center"/>
    </xf>
    <xf numFmtId="0" fontId="1" fillId="0" borderId="1" xfId="0" applyFont="1" applyBorder="1" applyAlignment="1">
      <alignment horizontal="center"/>
    </xf>
    <xf numFmtId="0" fontId="1" fillId="0" borderId="1" xfId="0" applyFont="1" applyBorder="1" applyAlignment="1">
      <alignment horizontal="center" vertical="center"/>
    </xf>
    <xf numFmtId="164" fontId="7" fillId="3" borderId="1" xfId="0" applyNumberFormat="1" applyFont="1" applyFill="1" applyBorder="1" applyAlignment="1">
      <alignment horizontal="center" vertical="center"/>
    </xf>
    <xf numFmtId="0" fontId="6" fillId="3" borderId="1" xfId="0" applyFont="1" applyFill="1" applyBorder="1" applyAlignment="1">
      <alignment horizontal="center"/>
    </xf>
    <xf numFmtId="0" fontId="10" fillId="3" borderId="0" xfId="1" applyFont="1" applyFill="1" applyBorder="1" applyAlignment="1">
      <alignment horizontal="center" vertical="center"/>
    </xf>
    <xf numFmtId="0" fontId="10" fillId="3" borderId="6" xfId="1" applyFont="1" applyFill="1" applyBorder="1" applyAlignment="1">
      <alignment horizontal="center" vertical="center"/>
    </xf>
    <xf numFmtId="0" fontId="10" fillId="3" borderId="0" xfId="1" applyFont="1" applyFill="1" applyAlignment="1">
      <alignment horizontal="center" vertical="center"/>
    </xf>
    <xf numFmtId="164" fontId="10" fillId="3" borderId="0" xfId="2" applyNumberFormat="1" applyFont="1" applyFill="1" applyAlignment="1">
      <alignment horizontal="center"/>
    </xf>
    <xf numFmtId="164" fontId="10" fillId="3" borderId="6" xfId="2" applyNumberFormat="1" applyFont="1" applyFill="1" applyBorder="1" applyAlignment="1">
      <alignment horizontal="center"/>
    </xf>
    <xf numFmtId="0" fontId="17" fillId="0" borderId="5" xfId="0" applyFont="1" applyBorder="1" applyAlignment="1">
      <alignment horizontal="center" vertical="center"/>
    </xf>
    <xf numFmtId="0" fontId="17" fillId="0" borderId="0" xfId="0" applyFont="1" applyAlignment="1">
      <alignment horizontal="center" vertical="center"/>
    </xf>
    <xf numFmtId="0" fontId="10" fillId="3" borderId="0" xfId="0" applyFont="1" applyFill="1" applyAlignment="1">
      <alignment horizontal="center" vertical="center"/>
    </xf>
  </cellXfs>
  <cellStyles count="3">
    <cellStyle name="Hipertaut" xfId="1" builtinId="8"/>
    <cellStyle name="Normal" xfId="0" builtinId="0"/>
    <cellStyle name="Normal 2" xfId="2" xr:uid="{5AD87F45-E9F1-4F6C-8427-183661C64A13}"/>
  </cellStyles>
  <dxfs count="70">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yyyy\-mm\-dd;@"/>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4" formatCode="yyyy\-mm\-dd;@"/>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0"/>
        <name val="Calibri"/>
        <family val="2"/>
        <scheme val="minor"/>
      </font>
      <fill>
        <patternFill patternType="solid">
          <fgColor indexed="64"/>
          <bgColor rgb="FF1A3151"/>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i val="0"/>
        <color rgb="FF00B0F0"/>
      </font>
      <fill>
        <patternFill patternType="none">
          <bgColor auto="1"/>
        </patternFill>
      </fill>
    </dxf>
    <dxf>
      <font>
        <b/>
        <i val="0"/>
        <color theme="5"/>
      </font>
      <fill>
        <patternFill patternType="none">
          <bgColor auto="1"/>
        </patternFill>
      </fill>
    </dxf>
    <dxf>
      <font>
        <b/>
        <i val="0"/>
        <color rgb="FF00B050"/>
      </font>
      <fill>
        <patternFill patternType="none">
          <bgColor auto="1"/>
        </patternFill>
      </fill>
    </dxf>
    <dxf>
      <fill>
        <patternFill>
          <bgColor rgb="FFFFFF00"/>
        </patternFill>
      </fill>
    </dxf>
    <dxf>
      <fill>
        <patternFill>
          <bgColor theme="0"/>
        </patternFill>
      </fill>
    </dxf>
    <dxf>
      <fill>
        <patternFill>
          <bgColor rgb="FFFF0000"/>
        </patternFill>
      </fill>
    </dxf>
    <dxf>
      <font>
        <color rgb="FF00B050"/>
      </font>
      <fill>
        <patternFill patternType="none">
          <bgColor auto="1"/>
        </patternFill>
      </fill>
    </dxf>
    <dxf>
      <font>
        <color theme="5"/>
      </font>
      <fill>
        <patternFill patternType="none">
          <bgColor auto="1"/>
        </patternFill>
      </fill>
    </dxf>
    <dxf>
      <font>
        <b/>
        <i val="0"/>
        <color rgb="FF00B050"/>
      </font>
      <fill>
        <patternFill patternType="none">
          <bgColor auto="1"/>
        </patternFill>
      </fill>
    </dxf>
    <dxf>
      <font>
        <b/>
        <i val="0"/>
        <color theme="5"/>
      </font>
      <fill>
        <patternFill patternType="none">
          <bgColor auto="1"/>
        </patternFill>
      </fill>
    </dxf>
    <dxf>
      <fill>
        <patternFill patternType="solid">
          <bgColor rgb="FF130051"/>
        </patternFill>
      </fill>
    </dxf>
    <dxf>
      <fill>
        <patternFill patternType="solid">
          <bgColor rgb="FF130051"/>
        </patternFill>
      </fill>
    </dxf>
    <dxf>
      <font>
        <color theme="0"/>
      </font>
    </dxf>
    <dxf>
      <font>
        <color theme="0"/>
      </font>
    </dxf>
    <dxf>
      <font>
        <b/>
      </font>
    </dxf>
    <dxf>
      <font>
        <b/>
      </font>
    </dxf>
    <dxf>
      <font>
        <sz val="10"/>
      </font>
    </dxf>
    <dxf>
      <font>
        <sz val="10"/>
      </font>
    </dxf>
    <dxf>
      <alignment horizontal="center"/>
    </dxf>
    <dxf>
      <alignment horizontal="center"/>
    </dxf>
    <dxf>
      <alignment vertical="center"/>
    </dxf>
    <dxf>
      <alignment vertical="center"/>
    </dxf>
    <dxf>
      <fill>
        <patternFill patternType="solid">
          <bgColor rgb="FF130051"/>
        </patternFill>
      </fill>
    </dxf>
    <dxf>
      <font>
        <color theme="0"/>
      </font>
    </dxf>
    <dxf>
      <alignment horizontal="center"/>
    </dxf>
    <dxf>
      <alignment vertical="center"/>
    </dxf>
    <dxf>
      <font>
        <b/>
      </font>
    </dxf>
    <dxf>
      <font>
        <sz val="10"/>
      </font>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left"/>
    </dxf>
    <dxf>
      <font>
        <color rgb="FF1A3151"/>
      </font>
    </dxf>
    <dxf>
      <fill>
        <patternFill patternType="solid">
          <bgColor rgb="FF130051"/>
        </patternFill>
      </fill>
    </dxf>
    <dxf>
      <font>
        <color theme="0"/>
      </font>
    </dxf>
    <dxf>
      <font>
        <b/>
      </font>
    </dxf>
    <dxf>
      <font>
        <sz val="10"/>
      </font>
    </dxf>
    <dxf>
      <alignment horizontal="left"/>
    </dxf>
    <dxf>
      <alignment horizontal="center"/>
    </dxf>
    <dxf>
      <font>
        <b/>
        <i val="0"/>
        <sz val="9"/>
        <color theme="0"/>
      </font>
      <fill>
        <patternFill>
          <bgColor rgb="FF002060"/>
        </patternFill>
      </fill>
    </dxf>
  </dxfs>
  <tableStyles count="1" defaultTableStyle="TableStyleMedium2" defaultPivotStyle="PivotStyleLight16">
    <tableStyle name="Slicer Style 1" pivot="0" table="0" count="1" xr9:uid="{AC28BD21-96BC-4B23-86DE-FB1676AC51D6}">
      <tableStyleElement type="headerRow" dxfId="69"/>
    </tableStyle>
  </tableStyles>
  <colors>
    <mruColors>
      <color rgb="FF1A3151"/>
      <color rgb="FF130051"/>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d-ID"/>
  <c:roundedCorners val="0"/>
  <mc:AlternateContent xmlns:mc="http://schemas.openxmlformats.org/markup-compatibility/2006">
    <mc:Choice xmlns:c14="http://schemas.microsoft.com/office/drawing/2007/8/2/chart" Requires="c14">
      <c14:style val="102"/>
    </mc:Choice>
    <mc:Fallback>
      <c:style val="2"/>
    </mc:Fallback>
  </mc:AlternateContent>
  <c:pivotSource>
    <c:name>[Reading Tracker_Public Version.xlsm]Pivot Table!PivotTable4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t>Reading Trend by Category</a:t>
            </a:r>
          </a:p>
        </c:rich>
      </c:tx>
      <c:layout>
        <c:manualLayout>
          <c:xMode val="edge"/>
          <c:yMode val="edge"/>
          <c:x val="1.5367891513560789E-2"/>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ln w="28575" cap="rnd">
            <a:solidFill>
              <a:srgbClr val="00B050"/>
            </a:solidFill>
            <a:round/>
          </a:ln>
          <a:effectLst/>
        </c:spPr>
        <c:marker>
          <c:symbol val="circle"/>
          <c:size val="5"/>
          <c:spPr>
            <a:solidFill>
              <a:srgbClr val="00B05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2"/>
            </a:solidFill>
            <a:round/>
          </a:ln>
          <a:effectLst/>
        </c:spPr>
        <c:marker>
          <c:symbol val="circle"/>
          <c:size val="5"/>
          <c:spPr>
            <a:solidFill>
              <a:schemeClr val="accent2"/>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rgbClr val="00B0F0"/>
            </a:solidFill>
            <a:round/>
          </a:ln>
          <a:effectLst/>
        </c:spPr>
        <c:marker>
          <c:symbol val="circle"/>
          <c:size val="5"/>
          <c:spPr>
            <a:solidFill>
              <a:srgbClr val="00B0F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w="28575" cap="rnd">
            <a:solidFill>
              <a:schemeClr val="accent6"/>
            </a:solidFill>
            <a:round/>
          </a:ln>
          <a:effectLst/>
        </c:spPr>
        <c:marker>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Table'!$J$3:$J$4</c:f>
              <c:strCache>
                <c:ptCount val="1"/>
                <c:pt idx="0">
                  <c:v>Academic</c:v>
                </c:pt>
              </c:strCache>
            </c:strRef>
          </c:tx>
          <c:spPr>
            <a:ln w="28575" cap="rnd">
              <a:solidFill>
                <a:srgbClr val="00B050"/>
              </a:solidFill>
              <a:round/>
            </a:ln>
            <a:effectLst/>
          </c:spPr>
          <c:marker>
            <c:symbol val="circle"/>
            <c:size val="5"/>
            <c:spPr>
              <a:solidFill>
                <a:srgbClr val="00B050"/>
              </a:solidFill>
              <a:ln w="9525">
                <a:noFill/>
              </a:ln>
              <a:effectLst/>
            </c:spPr>
          </c:marker>
          <c:cat>
            <c:strRef>
              <c:f>'Pivot Table'!$I$5:$I$6</c:f>
              <c:strCache>
                <c:ptCount val="2"/>
                <c:pt idx="0">
                  <c:v>2021</c:v>
                </c:pt>
                <c:pt idx="1">
                  <c:v>2022</c:v>
                </c:pt>
              </c:strCache>
            </c:strRef>
          </c:cat>
          <c:val>
            <c:numRef>
              <c:f>'Pivot Table'!$J$5:$J$6</c:f>
              <c:numCache>
                <c:formatCode>General</c:formatCode>
                <c:ptCount val="2"/>
                <c:pt idx="0">
                  <c:v>3</c:v>
                </c:pt>
                <c:pt idx="1">
                  <c:v>2</c:v>
                </c:pt>
              </c:numCache>
            </c:numRef>
          </c:val>
          <c:smooth val="0"/>
          <c:extLst>
            <c:ext xmlns:c16="http://schemas.microsoft.com/office/drawing/2014/chart" uri="{C3380CC4-5D6E-409C-BE32-E72D297353CC}">
              <c16:uniqueId val="{00000003-DB3D-4BB5-B806-F81A912996AD}"/>
            </c:ext>
          </c:extLst>
        </c:ser>
        <c:ser>
          <c:idx val="1"/>
          <c:order val="1"/>
          <c:tx>
            <c:strRef>
              <c:f>'Pivot Table'!$K$3:$K$4</c:f>
              <c:strCache>
                <c:ptCount val="1"/>
                <c:pt idx="0">
                  <c:v>Financial</c:v>
                </c:pt>
              </c:strCache>
            </c:strRef>
          </c:tx>
          <c:spPr>
            <a:ln w="28575" cap="rnd">
              <a:solidFill>
                <a:schemeClr val="accent2"/>
              </a:solidFill>
              <a:round/>
            </a:ln>
            <a:effectLst/>
          </c:spPr>
          <c:marker>
            <c:symbol val="circle"/>
            <c:size val="5"/>
            <c:spPr>
              <a:solidFill>
                <a:schemeClr val="accent2"/>
              </a:solidFill>
              <a:ln w="9525">
                <a:noFill/>
              </a:ln>
              <a:effectLst/>
            </c:spPr>
          </c:marker>
          <c:cat>
            <c:strRef>
              <c:f>'Pivot Table'!$I$5:$I$6</c:f>
              <c:strCache>
                <c:ptCount val="2"/>
                <c:pt idx="0">
                  <c:v>2021</c:v>
                </c:pt>
                <c:pt idx="1">
                  <c:v>2022</c:v>
                </c:pt>
              </c:strCache>
            </c:strRef>
          </c:cat>
          <c:val>
            <c:numRef>
              <c:f>'Pivot Table'!$K$5:$K$6</c:f>
              <c:numCache>
                <c:formatCode>General</c:formatCode>
                <c:ptCount val="2"/>
                <c:pt idx="0">
                  <c:v>1</c:v>
                </c:pt>
                <c:pt idx="1">
                  <c:v>2</c:v>
                </c:pt>
              </c:numCache>
            </c:numRef>
          </c:val>
          <c:smooth val="0"/>
          <c:extLst>
            <c:ext xmlns:c16="http://schemas.microsoft.com/office/drawing/2014/chart" uri="{C3380CC4-5D6E-409C-BE32-E72D297353CC}">
              <c16:uniqueId val="{00000004-DB3D-4BB5-B806-F81A912996AD}"/>
            </c:ext>
          </c:extLst>
        </c:ser>
        <c:ser>
          <c:idx val="2"/>
          <c:order val="2"/>
          <c:tx>
            <c:strRef>
              <c:f>'Pivot Table'!$L$3:$L$4</c:f>
              <c:strCache>
                <c:ptCount val="1"/>
                <c:pt idx="0">
                  <c:v>Personal</c:v>
                </c:pt>
              </c:strCache>
            </c:strRef>
          </c:tx>
          <c:spPr>
            <a:ln w="28575" cap="rnd">
              <a:solidFill>
                <a:srgbClr val="00B0F0"/>
              </a:solidFill>
              <a:round/>
            </a:ln>
            <a:effectLst/>
          </c:spPr>
          <c:marker>
            <c:symbol val="circle"/>
            <c:size val="5"/>
            <c:spPr>
              <a:solidFill>
                <a:srgbClr val="00B0F0"/>
              </a:solidFill>
              <a:ln w="9525">
                <a:noFill/>
              </a:ln>
              <a:effectLst/>
            </c:spPr>
          </c:marker>
          <c:cat>
            <c:strRef>
              <c:f>'Pivot Table'!$I$5:$I$6</c:f>
              <c:strCache>
                <c:ptCount val="2"/>
                <c:pt idx="0">
                  <c:v>2021</c:v>
                </c:pt>
                <c:pt idx="1">
                  <c:v>2022</c:v>
                </c:pt>
              </c:strCache>
            </c:strRef>
          </c:cat>
          <c:val>
            <c:numRef>
              <c:f>'Pivot Table'!$L$5:$L$6</c:f>
              <c:numCache>
                <c:formatCode>General</c:formatCode>
                <c:ptCount val="2"/>
                <c:pt idx="0">
                  <c:v>2</c:v>
                </c:pt>
                <c:pt idx="1">
                  <c:v>2</c:v>
                </c:pt>
              </c:numCache>
            </c:numRef>
          </c:val>
          <c:smooth val="0"/>
          <c:extLst>
            <c:ext xmlns:c16="http://schemas.microsoft.com/office/drawing/2014/chart" uri="{C3380CC4-5D6E-409C-BE32-E72D297353CC}">
              <c16:uniqueId val="{00000005-DB3D-4BB5-B806-F81A912996AD}"/>
            </c:ext>
          </c:extLst>
        </c:ser>
        <c:dLbls>
          <c:showLegendKey val="0"/>
          <c:showVal val="0"/>
          <c:showCatName val="0"/>
          <c:showSerName val="0"/>
          <c:showPercent val="0"/>
          <c:showBubbleSize val="0"/>
        </c:dLbls>
        <c:marker val="1"/>
        <c:smooth val="0"/>
        <c:axId val="943788479"/>
        <c:axId val="943803039"/>
      </c:lineChart>
      <c:catAx>
        <c:axId val="943788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3803039"/>
        <c:crosses val="autoZero"/>
        <c:auto val="1"/>
        <c:lblAlgn val="ctr"/>
        <c:lblOffset val="100"/>
        <c:noMultiLvlLbl val="0"/>
      </c:catAx>
      <c:valAx>
        <c:axId val="94380303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3788479"/>
        <c:crosses val="autoZero"/>
        <c:crossBetween val="between"/>
      </c:valAx>
      <c:spPr>
        <a:noFill/>
        <a:ln>
          <a:noFill/>
        </a:ln>
        <a:effectLst/>
      </c:spPr>
    </c:plotArea>
    <c:legend>
      <c:legendPos val="r"/>
      <c:layout>
        <c:manualLayout>
          <c:xMode val="edge"/>
          <c:yMode val="edge"/>
          <c:x val="0.80112467191601056"/>
          <c:y val="0.19399205307669876"/>
          <c:w val="0.19887537064634203"/>
          <c:h val="0.327037006329220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d-ID"/>
  <c:roundedCorners val="0"/>
  <mc:AlternateContent xmlns:mc="http://schemas.openxmlformats.org/markup-compatibility/2006">
    <mc:Choice xmlns:c14="http://schemas.microsoft.com/office/drawing/2007/8/2/chart" Requires="c14">
      <c14:style val="102"/>
    </mc:Choice>
    <mc:Fallback>
      <c:style val="2"/>
    </mc:Fallback>
  </mc:AlternateContent>
  <c:pivotSource>
    <c:name>[Reading Tracker_Public Version.xlsm]Pivot Table!PivotTable5</c:name>
    <c:fmtId val="4"/>
  </c:pivotSource>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a:t>Count Finished Book per Month</a:t>
            </a:r>
          </a:p>
        </c:rich>
      </c:tx>
      <c:layout>
        <c:manualLayout>
          <c:xMode val="edge"/>
          <c:yMode val="edge"/>
          <c:x val="2.0583333333333325E-2"/>
          <c:y val="9.2592592592592587E-3"/>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Table'!$D$3</c:f>
              <c:strCache>
                <c:ptCount val="1"/>
                <c:pt idx="0">
                  <c:v>Total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Table'!$C$4:$C$14</c:f>
              <c:multiLvlStrCache>
                <c:ptCount val="9"/>
                <c:lvl>
                  <c:pt idx="0">
                    <c:v>Feb</c:v>
                  </c:pt>
                  <c:pt idx="1">
                    <c:v>Apr</c:v>
                  </c:pt>
                  <c:pt idx="2">
                    <c:v>May</c:v>
                  </c:pt>
                  <c:pt idx="3">
                    <c:v>Oct</c:v>
                  </c:pt>
                  <c:pt idx="4">
                    <c:v>Nov</c:v>
                  </c:pt>
                  <c:pt idx="5">
                    <c:v>Jan</c:v>
                  </c:pt>
                  <c:pt idx="6">
                    <c:v>Feb</c:v>
                  </c:pt>
                  <c:pt idx="7">
                    <c:v>Apr</c:v>
                  </c:pt>
                  <c:pt idx="8">
                    <c:v>Dec</c:v>
                  </c:pt>
                </c:lvl>
                <c:lvl>
                  <c:pt idx="0">
                    <c:v>2021</c:v>
                  </c:pt>
                  <c:pt idx="5">
                    <c:v>2022</c:v>
                  </c:pt>
                </c:lvl>
              </c:multiLvlStrCache>
            </c:multiLvlStrRef>
          </c:cat>
          <c:val>
            <c:numRef>
              <c:f>'Pivot Table'!$D$4:$D$14</c:f>
              <c:numCache>
                <c:formatCode>General</c:formatCode>
                <c:ptCount val="9"/>
                <c:pt idx="0">
                  <c:v>1</c:v>
                </c:pt>
                <c:pt idx="1">
                  <c:v>1</c:v>
                </c:pt>
                <c:pt idx="2">
                  <c:v>2</c:v>
                </c:pt>
                <c:pt idx="3">
                  <c:v>1</c:v>
                </c:pt>
                <c:pt idx="4">
                  <c:v>1</c:v>
                </c:pt>
                <c:pt idx="5">
                  <c:v>1</c:v>
                </c:pt>
                <c:pt idx="6">
                  <c:v>3</c:v>
                </c:pt>
                <c:pt idx="7">
                  <c:v>1</c:v>
                </c:pt>
                <c:pt idx="8">
                  <c:v>1</c:v>
                </c:pt>
              </c:numCache>
            </c:numRef>
          </c:val>
          <c:extLst>
            <c:ext xmlns:c16="http://schemas.microsoft.com/office/drawing/2014/chart" uri="{C3380CC4-5D6E-409C-BE32-E72D297353CC}">
              <c16:uniqueId val="{00000001-C977-4BE3-97F3-73DD9A76145E}"/>
            </c:ext>
          </c:extLst>
        </c:ser>
        <c:dLbls>
          <c:showLegendKey val="0"/>
          <c:showVal val="0"/>
          <c:showCatName val="0"/>
          <c:showSerName val="0"/>
          <c:showPercent val="0"/>
          <c:showBubbleSize val="0"/>
        </c:dLbls>
        <c:gapWidth val="219"/>
        <c:overlap val="-27"/>
        <c:axId val="1279090863"/>
        <c:axId val="1279100847"/>
      </c:barChart>
      <c:catAx>
        <c:axId val="1279090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9100847"/>
        <c:crosses val="autoZero"/>
        <c:auto val="1"/>
        <c:lblAlgn val="ctr"/>
        <c:lblOffset val="100"/>
        <c:noMultiLvlLbl val="0"/>
      </c:catAx>
      <c:valAx>
        <c:axId val="127910084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90908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d-ID"/>
  <c:roundedCorners val="0"/>
  <mc:AlternateContent xmlns:mc="http://schemas.openxmlformats.org/markup-compatibility/2006">
    <mc:Choice xmlns:c14="http://schemas.microsoft.com/office/drawing/2007/8/2/chart" Requires="c14">
      <c14:style val="102"/>
    </mc:Choice>
    <mc:Fallback>
      <c:style val="2"/>
    </mc:Fallback>
  </mc:AlternateContent>
  <c:pivotSource>
    <c:name>[Reading Tracker_Public Version.xlsm]Pivot Table!PivotTable6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t>Count</a:t>
            </a:r>
            <a:r>
              <a:rPr lang="en-US" sz="1100" b="1" baseline="0"/>
              <a:t> Finished Pages per Month</a:t>
            </a:r>
            <a:endParaRPr lang="en-US" sz="1100" b="1"/>
          </a:p>
        </c:rich>
      </c:tx>
      <c:layout>
        <c:manualLayout>
          <c:xMode val="edge"/>
          <c:yMode val="edge"/>
          <c:x val="1.6201224846894156E-2"/>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Table'!$G$3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Table'!$F$4:$F$14</c:f>
              <c:multiLvlStrCache>
                <c:ptCount val="9"/>
                <c:lvl>
                  <c:pt idx="0">
                    <c:v>Feb</c:v>
                  </c:pt>
                  <c:pt idx="1">
                    <c:v>Apr</c:v>
                  </c:pt>
                  <c:pt idx="2">
                    <c:v>May</c:v>
                  </c:pt>
                  <c:pt idx="3">
                    <c:v>Oct</c:v>
                  </c:pt>
                  <c:pt idx="4">
                    <c:v>Nov</c:v>
                  </c:pt>
                  <c:pt idx="5">
                    <c:v>Jan</c:v>
                  </c:pt>
                  <c:pt idx="6">
                    <c:v>Feb</c:v>
                  </c:pt>
                  <c:pt idx="7">
                    <c:v>Apr</c:v>
                  </c:pt>
                  <c:pt idx="8">
                    <c:v>Dec</c:v>
                  </c:pt>
                </c:lvl>
                <c:lvl>
                  <c:pt idx="0">
                    <c:v>2021</c:v>
                  </c:pt>
                  <c:pt idx="5">
                    <c:v>2022</c:v>
                  </c:pt>
                </c:lvl>
              </c:multiLvlStrCache>
            </c:multiLvlStrRef>
          </c:cat>
          <c:val>
            <c:numRef>
              <c:f>'Pivot Table'!$G$4:$G$14</c:f>
              <c:numCache>
                <c:formatCode>General</c:formatCode>
                <c:ptCount val="9"/>
                <c:pt idx="0">
                  <c:v>268</c:v>
                </c:pt>
                <c:pt idx="1">
                  <c:v>604</c:v>
                </c:pt>
                <c:pt idx="2">
                  <c:v>786</c:v>
                </c:pt>
                <c:pt idx="3">
                  <c:v>306</c:v>
                </c:pt>
                <c:pt idx="4">
                  <c:v>235</c:v>
                </c:pt>
                <c:pt idx="5">
                  <c:v>541</c:v>
                </c:pt>
                <c:pt idx="6">
                  <c:v>1317</c:v>
                </c:pt>
                <c:pt idx="7">
                  <c:v>88</c:v>
                </c:pt>
                <c:pt idx="8">
                  <c:v>89</c:v>
                </c:pt>
              </c:numCache>
            </c:numRef>
          </c:val>
          <c:extLst>
            <c:ext xmlns:c16="http://schemas.microsoft.com/office/drawing/2014/chart" uri="{C3380CC4-5D6E-409C-BE32-E72D297353CC}">
              <c16:uniqueId val="{00000001-09CD-4FEE-BCDF-0B8B6040E3F2}"/>
            </c:ext>
          </c:extLst>
        </c:ser>
        <c:dLbls>
          <c:showLegendKey val="0"/>
          <c:showVal val="0"/>
          <c:showCatName val="0"/>
          <c:showSerName val="0"/>
          <c:showPercent val="0"/>
          <c:showBubbleSize val="0"/>
        </c:dLbls>
        <c:gapWidth val="219"/>
        <c:overlap val="-27"/>
        <c:axId val="1279113743"/>
        <c:axId val="1279115407"/>
      </c:barChart>
      <c:catAx>
        <c:axId val="1279113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9115407"/>
        <c:crosses val="autoZero"/>
        <c:auto val="1"/>
        <c:lblAlgn val="ctr"/>
        <c:lblOffset val="100"/>
        <c:noMultiLvlLbl val="0"/>
      </c:catAx>
      <c:valAx>
        <c:axId val="12791154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91137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100014</xdr:colOff>
      <xdr:row>3</xdr:row>
      <xdr:rowOff>192780</xdr:rowOff>
    </xdr:from>
    <xdr:to>
      <xdr:col>12</xdr:col>
      <xdr:colOff>504600</xdr:colOff>
      <xdr:row>13</xdr:row>
      <xdr:rowOff>71178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105229</xdr:colOff>
      <xdr:row>13</xdr:row>
      <xdr:rowOff>103203</xdr:rowOff>
    </xdr:from>
    <xdr:to>
      <xdr:col>12</xdr:col>
      <xdr:colOff>513216</xdr:colOff>
      <xdr:row>24</xdr:row>
      <xdr:rowOff>60975</xdr:rowOff>
    </xdr:to>
    <xdr:graphicFrame macro="">
      <xdr:nvGraphicFramePr>
        <xdr:cNvPr id="15" name="Chart 14">
          <a:extLst>
            <a:ext uri="{FF2B5EF4-FFF2-40B4-BE49-F238E27FC236}">
              <a16:creationId xmlns:a16="http://schemas.microsoft.com/office/drawing/2014/main" id="{00000000-0008-0000-0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749527</xdr:colOff>
      <xdr:row>13</xdr:row>
      <xdr:rowOff>103200</xdr:rowOff>
    </xdr:from>
    <xdr:to>
      <xdr:col>8</xdr:col>
      <xdr:colOff>101827</xdr:colOff>
      <xdr:row>24</xdr:row>
      <xdr:rowOff>60972</xdr:rowOff>
    </xdr:to>
    <xdr:graphicFrame macro="">
      <xdr:nvGraphicFramePr>
        <xdr:cNvPr id="16" name="Chart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85045</xdr:colOff>
      <xdr:row>9</xdr:row>
      <xdr:rowOff>149680</xdr:rowOff>
    </xdr:from>
    <xdr:to>
      <xdr:col>4</xdr:col>
      <xdr:colOff>698274</xdr:colOff>
      <xdr:row>15</xdr:row>
      <xdr:rowOff>128131</xdr:rowOff>
    </xdr:to>
    <mc:AlternateContent xmlns:mc="http://schemas.openxmlformats.org/markup-compatibility/2006" xmlns:a14="http://schemas.microsoft.com/office/drawing/2010/main">
      <mc:Choice Requires="a14">
        <xdr:graphicFrame macro="">
          <xdr:nvGraphicFramePr>
            <xdr:cNvPr id="3" name="Years">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640795" y="1760993"/>
              <a:ext cx="1835604" cy="11452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247650</xdr:colOff>
          <xdr:row>3</xdr:row>
          <xdr:rowOff>266700</xdr:rowOff>
        </xdr:from>
        <xdr:to>
          <xdr:col>1</xdr:col>
          <xdr:colOff>501650</xdr:colOff>
          <xdr:row>6</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00"/>
                  </a:solidFill>
                  <a:latin typeface="Calibri"/>
                  <a:ea typeface="Calibri"/>
                  <a:cs typeface="Calibri"/>
                </a:rPr>
                <a:t>REFRESH DATA</a:t>
              </a:r>
            </a:p>
          </xdr:txBody>
        </xdr:sp>
        <xdr:clientData fPrintsWithSheet="0"/>
      </xdr:twoCellAnchor>
    </mc:Choice>
    <mc:Fallback/>
  </mc:AlternateContent>
  <xdr:twoCellAnchor editAs="oneCell">
    <xdr:from>
      <xdr:col>2</xdr:col>
      <xdr:colOff>98652</xdr:colOff>
      <xdr:row>3</xdr:row>
      <xdr:rowOff>267606</xdr:rowOff>
    </xdr:from>
    <xdr:to>
      <xdr:col>4</xdr:col>
      <xdr:colOff>711881</xdr:colOff>
      <xdr:row>9</xdr:row>
      <xdr:rowOff>52160</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654402" y="593044"/>
              <a:ext cx="1835604" cy="10704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ading%20Track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shboard"/>
      <sheetName val="Pivot Table"/>
      <sheetName val="Reading Tracker"/>
    </sheetNames>
    <definedNames>
      <definedName name="Macro1"/>
    </definedNames>
    <sheetDataSet>
      <sheetData sheetId="0"/>
      <sheetData sheetId="1"/>
      <sheetData sheetId="2"/>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ng kurnia" refreshedDate="44906.767999999996" createdVersion="7" refreshedVersion="7" minRefreshableVersion="3" recordCount="235" xr:uid="{B5535D6C-C2D3-4824-9153-6C30ADB75309}">
  <cacheSource type="worksheet">
    <worksheetSource name="Table1"/>
  </cacheSource>
  <cacheFields count="19">
    <cacheField name="NO" numFmtId="0">
      <sharedItems containsString="0" containsBlank="1" containsNumber="1" containsInteger="1" minValue="1" maxValue="16"/>
    </cacheField>
    <cacheField name="TITLE" numFmtId="0">
      <sharedItems containsBlank="1" count="61">
        <s v="Book 1"/>
        <s v="Book 9"/>
        <s v="Book 4"/>
        <s v="Book 3"/>
        <s v="Book 10"/>
        <s v="Book 15"/>
        <s v="Book 5"/>
        <s v="Book 16"/>
        <s v="Book 8"/>
        <s v="Book 7"/>
        <s v="Book 13"/>
        <s v="Book 14"/>
        <s v="Book 17"/>
        <s v="Book 18"/>
        <m/>
        <s v="Dia Dia Dia Sempurna" u="1"/>
        <s v="Kisah 2 Kamar" u="1"/>
        <s v="Lean Six Sigma Logistics" u="1"/>
        <s v="Hands-On ML with Scikitlearn and Tensorflow" u="1"/>
        <s v="Pelangi Setelah Hujan" u="1"/>
        <s v="Jitu Menembus Tes BUMN" u="1"/>
        <s v="Have I Told You Lately That I Love You" u="1"/>
        <s v="Production and Inventory Management" u="1"/>
        <s v="Book 2" u="1"/>
        <s v="Storytelling with Data" u="1"/>
        <s v="Supply Chain Management" u="1"/>
        <s v="Naked Statistics" u="1"/>
        <s v="Sukses Supply Chain Management" u="1"/>
        <s v="Interactive Data Visualization for the Web" u="1"/>
        <s v="Pentingnya Mengelola Keuangan dan Bisnis" u="1"/>
        <s v="Practical Statistics for Data Scientists" u="1"/>
        <s v="Toefl Students Preparation Planner" u="1"/>
        <s v="Atomic Habits" u="1"/>
        <s v="Book 6" u="1"/>
        <s v="Ayah Kaya dan Ayah Miskin" u="1"/>
        <s v="Perencanaan Keuangan Usia 20-an" u="1"/>
        <s v="Reksa Dana (Finansialku)" u="1"/>
        <s v="Hadiah Untuk Programmer" u="1"/>
        <s v="Jurnal ESDM Volume 3 Tahun 2011" u="1"/>
        <s v="Alquran" u="1"/>
        <s v="10 Days to Faster Reading- Jump-Start Your Reading Skills with Speed Reading" u="1"/>
        <s v="Buku Latihan Soal BUMN dan CPNS" u="1"/>
        <s v="Machine Learning Simplified " u="1"/>
        <s v="Berpikir dan Berjiwa Besar" u="1"/>
        <s v="Data Science from Scratch" u="1"/>
        <s v="10 Tools Gratis Untuk Bisnis" u="1"/>
        <s v="Lebih Dari Sekedar Nomor Absen" u="1"/>
        <s v="Rework" u="1"/>
        <s v="Rich Dad Business School" u="1"/>
        <s v="Book 11" u="1"/>
        <s v="Sebuah Seni untuk Bersikap Bodo Amat" u="1"/>
        <s v="Python for Data Analysis_ Data Wrangling with Pandas, Numpy, and Ipython-O’Reilly Media (2017)" u="1"/>
        <s v="Hal-hal yang Harus Dilakukan sebelum Umur 40" u="1"/>
        <s v="Book 12" u="1"/>
        <s v="100 Tahun Setelah Aku Mati" u="1"/>
        <s v="Accidentally in Love" u="1"/>
        <s v="Sepasang Kaos Kaki Hitam" u="1"/>
        <s v="Introduction to Logistic Systems Planning Control" u="1"/>
        <s v="Returning Sunset" u="1"/>
        <s v="Practical statistics for data scientists_ 50 essential concepts" u="1"/>
        <s v="Designing Machine Learning Systems" u="1"/>
      </sharedItems>
    </cacheField>
    <cacheField name="AUTHOR" numFmtId="0">
      <sharedItems containsBlank="1"/>
    </cacheField>
    <cacheField name="TOTAL PAGES" numFmtId="0">
      <sharedItems containsString="0" containsBlank="1" containsNumber="1" containsInteger="1" minValue="88" maxValue="847"/>
    </cacheField>
    <cacheField name="PROGRESS" numFmtId="0">
      <sharedItems containsString="0" containsBlank="1" containsNumber="1" containsInteger="1" minValue="8" maxValue="847"/>
    </cacheField>
    <cacheField name="START" numFmtId="164">
      <sharedItems containsNonDate="0" containsDate="1" containsString="0" containsBlank="1" minDate="2021-01-17T00:00:00" maxDate="2022-12-14T00:00:00"/>
    </cacheField>
    <cacheField name="DURATION" numFmtId="1">
      <sharedItems containsString="0" containsBlank="1" containsNumber="1" containsInteger="1" minValue="2" maxValue="30"/>
    </cacheField>
    <cacheField name="TARGET FINISH" numFmtId="0">
      <sharedItems containsNonDate="0" containsDate="1" containsString="0" containsBlank="1" minDate="2021-02-07T00:00:00" maxDate="2023-01-13T00:00:00" count="17">
        <d v="2021-02-07T00:00:00"/>
        <d v="2021-04-23T00:00:00"/>
        <d v="2021-05-03T00:00:00"/>
        <d v="2021-05-18T00:00:00"/>
        <d v="2021-10-15T00:00:00"/>
        <d v="2021-11-12T00:00:00"/>
        <d v="2022-01-18T00:00:00"/>
        <d v="2022-02-01T00:00:00"/>
        <d v="2022-02-04T00:00:00"/>
        <d v="2022-02-28T00:00:00"/>
        <d v="2022-04-29T00:00:00"/>
        <d v="2022-12-06T00:00:00"/>
        <d v="2022-12-14T00:00:00"/>
        <d v="2022-12-09T00:00:00"/>
        <d v="2022-12-27T00:00:00"/>
        <d v="2023-01-12T00:00:00"/>
        <m/>
      </sharedItems>
      <fieldGroup par="18" base="7">
        <rangePr groupBy="months" startDate="2021-02-07T00:00:00" endDate="2023-01-13T00:00:00"/>
        <groupItems count="14">
          <s v="(blank)"/>
          <s v="Jan"/>
          <s v="Feb"/>
          <s v="Mar"/>
          <s v="Apr"/>
          <s v="May"/>
          <s v="Jun"/>
          <s v="Jul"/>
          <s v="Aug"/>
          <s v="Sep"/>
          <s v="Oct"/>
          <s v="Nov"/>
          <s v="Dec"/>
          <s v="&gt;1/13/2023"/>
        </groupItems>
      </fieldGroup>
    </cacheField>
    <cacheField name="CATEGORY" numFmtId="0">
      <sharedItems containsBlank="1" count="4">
        <s v="Personal"/>
        <s v="Financial"/>
        <s v="Academic"/>
        <m/>
      </sharedItems>
    </cacheField>
    <cacheField name="REST" numFmtId="0">
      <sharedItems containsString="0" containsBlank="1" containsNumber="1" containsInteger="1" minValue="-368" maxValue="0"/>
    </cacheField>
    <cacheField name="PAGES/DAY" numFmtId="0">
      <sharedItems containsBlank="1" containsMixedTypes="1" containsNumber="1" minValue="9.125" maxValue="23"/>
    </cacheField>
    <cacheField name="TODAY'S TARGET" numFmtId="0">
      <sharedItems containsBlank="1" containsMixedTypes="1" containsNumber="1" minValue="17.125" maxValue="55"/>
    </cacheField>
    <cacheField name="AVG READ/DAY" numFmtId="0">
      <sharedItems containsString="0" containsBlank="1" containsNumber="1" minValue="4.1904761904761907" maxValue="44.5"/>
    </cacheField>
    <cacheField name="%" numFmtId="0">
      <sharedItems containsString="0" containsBlank="1" containsNumber="1" minValue="2.6666666666666668E-2" maxValue="1"/>
    </cacheField>
    <cacheField name="STATUS" numFmtId="0">
      <sharedItems containsBlank="1" count="4">
        <s v="FINISH"/>
        <s v="ON GOING"/>
        <m/>
        <s v="NOT YET" u="1"/>
      </sharedItems>
    </cacheField>
    <cacheField name="FORMAT" numFmtId="0">
      <sharedItems containsBlank="1"/>
    </cacheField>
    <cacheField name="LINK" numFmtId="0">
      <sharedItems containsBlank="1"/>
    </cacheField>
    <cacheField name="Quarters" numFmtId="0" databaseField="0">
      <fieldGroup base="7">
        <rangePr groupBy="quarters" startDate="2021-02-07T00:00:00" endDate="2023-01-13T00:00:00"/>
        <groupItems count="6">
          <s v="&lt;2/7/2021"/>
          <s v="Qtr1"/>
          <s v="Qtr2"/>
          <s v="Qtr3"/>
          <s v="Qtr4"/>
          <s v="&gt;1/13/2023"/>
        </groupItems>
      </fieldGroup>
    </cacheField>
    <cacheField name="Years" numFmtId="0" databaseField="0">
      <fieldGroup base="7">
        <rangePr groupBy="years" startDate="2021-02-07T00:00:00" endDate="2023-01-13T00:00:00"/>
        <groupItems count="5">
          <s v="&lt;2/7/2021"/>
          <s v="2021"/>
          <s v="2022"/>
          <s v="2023"/>
          <s v="&gt;1/13/2023"/>
        </groupItems>
      </fieldGroup>
    </cacheField>
  </cacheFields>
  <extLst>
    <ext xmlns:x14="http://schemas.microsoft.com/office/spreadsheetml/2009/9/main" uri="{725AE2AE-9491-48be-B2B4-4EB974FC3084}">
      <x14:pivotCacheDefinition pivotCacheId="18324672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5">
  <r>
    <n v="1"/>
    <x v="0"/>
    <s v="Author 1"/>
    <n v="268"/>
    <n v="268"/>
    <d v="2021-01-17T00:00:00"/>
    <n v="21"/>
    <x v="0"/>
    <x v="0"/>
    <n v="0"/>
    <s v="-"/>
    <s v="-"/>
    <n v="12.761904761904763"/>
    <n v="1"/>
    <x v="0"/>
    <s v="EBOOK"/>
    <s v="CLICK"/>
  </r>
  <r>
    <n v="2"/>
    <x v="1"/>
    <s v="Author 9"/>
    <n v="604"/>
    <n v="604"/>
    <d v="2021-04-08T00:00:00"/>
    <n v="15"/>
    <x v="1"/>
    <x v="0"/>
    <n v="0"/>
    <s v="-"/>
    <s v="-"/>
    <n v="40.266666666666666"/>
    <n v="1"/>
    <x v="0"/>
    <s v="BOOK"/>
    <s v="-"/>
  </r>
  <r>
    <n v="3"/>
    <x v="2"/>
    <s v="Author 4"/>
    <n v="409"/>
    <n v="409"/>
    <d v="2021-04-13T00:00:00"/>
    <n v="20"/>
    <x v="2"/>
    <x v="1"/>
    <n v="0"/>
    <s v="-"/>
    <s v="-"/>
    <n v="20.45"/>
    <n v="1"/>
    <x v="0"/>
    <s v="EBOOK"/>
    <s v="CLICK"/>
  </r>
  <r>
    <n v="4"/>
    <x v="3"/>
    <s v="Author 3"/>
    <n v="377"/>
    <n v="377"/>
    <d v="2021-05-01T00:00:00"/>
    <n v="17"/>
    <x v="3"/>
    <x v="2"/>
    <n v="0"/>
    <s v="-"/>
    <s v="-"/>
    <n v="22.176470588235293"/>
    <n v="1"/>
    <x v="0"/>
    <s v="EBOOK"/>
    <s v="CLICK"/>
  </r>
  <r>
    <n v="5"/>
    <x v="4"/>
    <s v="Author 10"/>
    <n v="306"/>
    <n v="306"/>
    <d v="2021-09-16T00:00:00"/>
    <n v="29"/>
    <x v="4"/>
    <x v="2"/>
    <n v="0"/>
    <s v="-"/>
    <s v="-"/>
    <n v="10.551724137931034"/>
    <n v="1"/>
    <x v="0"/>
    <s v="EBOOK"/>
    <s v="CLICK"/>
  </r>
  <r>
    <n v="6"/>
    <x v="5"/>
    <s v="Author 15"/>
    <n v="235"/>
    <n v="235"/>
    <d v="2021-10-20T00:00:00"/>
    <n v="23"/>
    <x v="5"/>
    <x v="2"/>
    <n v="0"/>
    <s v="-"/>
    <s v="-"/>
    <n v="10.217391304347826"/>
    <n v="1"/>
    <x v="0"/>
    <s v="EBOOK"/>
    <s v="CLICK"/>
  </r>
  <r>
    <n v="7"/>
    <x v="6"/>
    <s v="Author 5"/>
    <n v="541"/>
    <n v="541"/>
    <d v="2022-01-02T00:00:00"/>
    <n v="16"/>
    <x v="6"/>
    <x v="0"/>
    <n v="0"/>
    <s v="-"/>
    <s v="-"/>
    <n v="33.8125"/>
    <n v="1"/>
    <x v="0"/>
    <s v="EBOOK"/>
    <s v="CLICK"/>
  </r>
  <r>
    <n v="8"/>
    <x v="7"/>
    <s v="Author 16"/>
    <n v="847"/>
    <n v="847"/>
    <d v="2022-01-06T00:00:00"/>
    <n v="26"/>
    <x v="7"/>
    <x v="1"/>
    <n v="0"/>
    <s v="-"/>
    <s v="-"/>
    <n v="32.57692307692308"/>
    <n v="1"/>
    <x v="0"/>
    <s v="EBOOK"/>
    <s v="CLICK"/>
  </r>
  <r>
    <n v="9"/>
    <x v="8"/>
    <s v="Author 8"/>
    <n v="284"/>
    <n v="284"/>
    <d v="2022-01-13T00:00:00"/>
    <n v="22"/>
    <x v="8"/>
    <x v="2"/>
    <n v="0"/>
    <s v="-"/>
    <s v="-"/>
    <n v="12.909090909090908"/>
    <n v="1"/>
    <x v="0"/>
    <s v="EBOOK"/>
    <s v="CLICK"/>
  </r>
  <r>
    <n v="10"/>
    <x v="9"/>
    <s v="Author 7"/>
    <n v="186"/>
    <n v="186"/>
    <d v="2022-02-02T00:00:00"/>
    <n v="26"/>
    <x v="9"/>
    <x v="0"/>
    <n v="0"/>
    <s v="-"/>
    <s v="-"/>
    <n v="7.1538461538461542"/>
    <n v="1"/>
    <x v="0"/>
    <s v="EBOOK"/>
    <s v="CLICK"/>
  </r>
  <r>
    <n v="11"/>
    <x v="10"/>
    <s v="Author 13"/>
    <n v="88"/>
    <n v="88"/>
    <d v="2022-04-08T00:00:00"/>
    <n v="21"/>
    <x v="10"/>
    <x v="1"/>
    <n v="0"/>
    <s v="-"/>
    <s v="-"/>
    <n v="4.1904761904761907"/>
    <n v="1"/>
    <x v="0"/>
    <s v="EBOOK"/>
    <s v="CLICK"/>
  </r>
  <r>
    <n v="12"/>
    <x v="11"/>
    <s v="Author 14"/>
    <n v="89"/>
    <n v="89"/>
    <d v="2022-12-04T00:00:00"/>
    <n v="2"/>
    <x v="11"/>
    <x v="2"/>
    <n v="0"/>
    <s v="-"/>
    <s v="-"/>
    <n v="44.5"/>
    <n v="1"/>
    <x v="0"/>
    <s v="EBOOK"/>
    <s v="CLICK"/>
  </r>
  <r>
    <n v="13"/>
    <x v="5"/>
    <s v="Author 15"/>
    <n v="90"/>
    <n v="36"/>
    <d v="2022-12-10T00:00:00"/>
    <n v="4"/>
    <x v="12"/>
    <x v="2"/>
    <n v="-54"/>
    <n v="18"/>
    <n v="54"/>
    <n v="22.5"/>
    <n v="0.4"/>
    <x v="1"/>
    <s v="EBOOK"/>
    <s v="CLICK"/>
  </r>
  <r>
    <n v="14"/>
    <x v="7"/>
    <s v="Author 16"/>
    <n v="91"/>
    <n v="26"/>
    <d v="2022-12-04T00:00:00"/>
    <n v="5"/>
    <x v="13"/>
    <x v="0"/>
    <n v="-65"/>
    <s v="-"/>
    <s v="-"/>
    <n v="18.2"/>
    <n v="0.2857142857142857"/>
    <x v="1"/>
    <s v="BOOK"/>
    <s v="-"/>
  </r>
  <r>
    <n v="15"/>
    <x v="12"/>
    <s v="Author 17"/>
    <n v="400"/>
    <n v="32"/>
    <d v="2022-12-06T00:00:00"/>
    <n v="21"/>
    <x v="14"/>
    <x v="2"/>
    <n v="-368"/>
    <n v="23"/>
    <n v="55"/>
    <n v="19.047619047619047"/>
    <n v="0.08"/>
    <x v="1"/>
    <s v="EBOOK"/>
    <s v="CLICK"/>
  </r>
  <r>
    <n v="16"/>
    <x v="13"/>
    <s v="Author 18"/>
    <n v="300"/>
    <n v="8"/>
    <d v="2022-12-13T00:00:00"/>
    <n v="30"/>
    <x v="15"/>
    <x v="2"/>
    <n v="-292"/>
    <n v="9.125"/>
    <n v="17.125"/>
    <n v="10"/>
    <n v="2.6666666666666668E-2"/>
    <x v="1"/>
    <s v="EBOOK"/>
    <s v="CLICK"/>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r>
    <m/>
    <x v="14"/>
    <m/>
    <m/>
    <m/>
    <m/>
    <m/>
    <x v="16"/>
    <x v="3"/>
    <m/>
    <m/>
    <m/>
    <m/>
    <m/>
    <x v="2"/>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7289B8-231C-43AB-864E-6C93A0E31140}" name="PivotTable1" cacheId="913"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TITLE">
  <location ref="F9:H13" firstHeaderRow="0" firstDataRow="1" firstDataCol="1" rowPageCount="1" colPageCount="1"/>
  <pivotFields count="19">
    <pivotField showAll="0"/>
    <pivotField axis="axisRow" showAll="0" sortType="descending">
      <items count="62">
        <item m="1" x="40"/>
        <item m="1" x="45"/>
        <item m="1" x="54"/>
        <item m="1" x="55"/>
        <item m="1" x="39"/>
        <item m="1" x="32"/>
        <item m="1" x="34"/>
        <item m="1" x="43"/>
        <item m="1" x="41"/>
        <item m="1" x="44"/>
        <item m="1" x="60"/>
        <item m="1" x="15"/>
        <item m="1" x="37"/>
        <item m="1" x="52"/>
        <item m="1" x="18"/>
        <item m="1" x="21"/>
        <item m="1" x="28"/>
        <item m="1" x="57"/>
        <item m="1" x="20"/>
        <item m="1" x="38"/>
        <item m="1" x="16"/>
        <item m="1" x="17"/>
        <item m="1" x="46"/>
        <item m="1" x="42"/>
        <item m="1" x="26"/>
        <item m="1" x="19"/>
        <item m="1" x="29"/>
        <item m="1" x="35"/>
        <item m="1" x="30"/>
        <item m="1" x="59"/>
        <item m="1" x="22"/>
        <item m="1" x="51"/>
        <item m="1" x="36"/>
        <item m="1" x="58"/>
        <item m="1" x="47"/>
        <item m="1" x="48"/>
        <item m="1" x="50"/>
        <item m="1" x="56"/>
        <item m="1" x="24"/>
        <item m="1" x="27"/>
        <item m="1" x="25"/>
        <item m="1" x="31"/>
        <item x="14"/>
        <item x="0"/>
        <item m="1" x="23"/>
        <item x="3"/>
        <item x="2"/>
        <item x="6"/>
        <item m="1" x="33"/>
        <item x="9"/>
        <item x="8"/>
        <item x="1"/>
        <item x="4"/>
        <item m="1" x="49"/>
        <item m="1" x="53"/>
        <item x="10"/>
        <item x="11"/>
        <item x="5"/>
        <item x="7"/>
        <item x="12"/>
        <item x="13"/>
        <item t="default"/>
      </items>
      <autoSortScope>
        <pivotArea dataOnly="0" outline="0" fieldPosition="0">
          <references count="1">
            <reference field="4294967294" count="1" selected="0">
              <x v="1"/>
            </reference>
          </references>
        </pivotArea>
      </autoSortScope>
    </pivotField>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5">
        <item x="2"/>
        <item x="1"/>
        <item x="0"/>
        <item x="3"/>
        <item t="default"/>
      </items>
    </pivotField>
    <pivotField showAll="0"/>
    <pivotField showAll="0"/>
    <pivotField dataField="1" showAll="0"/>
    <pivotField showAll="0"/>
    <pivotField dataField="1" showAll="0"/>
    <pivotField axis="axisPage" showAll="0">
      <items count="5">
        <item x="0"/>
        <item m="1" x="3"/>
        <item x="1"/>
        <item x="2"/>
        <item t="default"/>
      </items>
    </pivotField>
    <pivotField showAll="0"/>
    <pivotField showAll="0"/>
    <pivotField showAll="0">
      <items count="7">
        <item x="1"/>
        <item x="2"/>
        <item x="3"/>
        <item x="4"/>
        <item x="0"/>
        <item x="5"/>
        <item t="default"/>
      </items>
    </pivotField>
    <pivotField showAll="0">
      <items count="6">
        <item x="1"/>
        <item x="2"/>
        <item x="0"/>
        <item x="3"/>
        <item x="4"/>
        <item t="default"/>
      </items>
    </pivotField>
  </pivotFields>
  <rowFields count="1">
    <field x="1"/>
  </rowFields>
  <rowItems count="4">
    <i>
      <x v="57"/>
    </i>
    <i>
      <x v="58"/>
    </i>
    <i>
      <x v="59"/>
    </i>
    <i>
      <x v="60"/>
    </i>
  </rowItems>
  <colFields count="1">
    <field x="-2"/>
  </colFields>
  <colItems count="2">
    <i>
      <x/>
    </i>
    <i i="1">
      <x v="1"/>
    </i>
  </colItems>
  <pageFields count="1">
    <pageField fld="14" item="2" hier="-1"/>
  </pageFields>
  <dataFields count="2">
    <dataField name="TARGET TODAY" fld="11" baseField="1" baseItem="38" numFmtId="1"/>
    <dataField name="% PROGRESS" fld="13" baseField="1" baseItem="4" numFmtId="9"/>
  </dataFields>
  <formats count="41">
    <format dxfId="28">
      <pivotArea field="1" type="button" dataOnly="0" labelOnly="1" outline="0" axis="axisRow" fieldPosition="0"/>
    </format>
    <format dxfId="29">
      <pivotArea dataOnly="0" labelOnly="1" outline="0" fieldPosition="0">
        <references count="1">
          <reference field="4294967294" count="1">
            <x v="1"/>
          </reference>
        </references>
      </pivotArea>
    </format>
    <format dxfId="30">
      <pivotArea field="1" type="button" dataOnly="0" labelOnly="1" outline="0" axis="axisRow" fieldPosition="0"/>
    </format>
    <format dxfId="31">
      <pivotArea dataOnly="0" labelOnly="1" outline="0" fieldPosition="0">
        <references count="1">
          <reference field="4294967294" count="1">
            <x v="1"/>
          </reference>
        </references>
      </pivotArea>
    </format>
    <format dxfId="32">
      <pivotArea field="1" type="button" dataOnly="0" labelOnly="1" outline="0" axis="axisRow" fieldPosition="0"/>
    </format>
    <format dxfId="33">
      <pivotArea dataOnly="0" labelOnly="1" outline="0" fieldPosition="0">
        <references count="1">
          <reference field="4294967294" count="1">
            <x v="1"/>
          </reference>
        </references>
      </pivotArea>
    </format>
    <format dxfId="34">
      <pivotArea field="1" type="button" dataOnly="0" labelOnly="1" outline="0" axis="axisRow" fieldPosition="0"/>
    </format>
    <format dxfId="35">
      <pivotArea dataOnly="0" labelOnly="1" outline="0" fieldPosition="0">
        <references count="1">
          <reference field="4294967294" count="1">
            <x v="1"/>
          </reference>
        </references>
      </pivotArea>
    </format>
    <format dxfId="36">
      <pivotArea field="1" type="button" dataOnly="0" labelOnly="1" outline="0" axis="axisRow" fieldPosition="0"/>
    </format>
    <format dxfId="37">
      <pivotArea dataOnly="0" labelOnly="1" outline="0" fieldPosition="0">
        <references count="1">
          <reference field="4294967294" count="1">
            <x v="1"/>
          </reference>
        </references>
      </pivotArea>
    </format>
    <format dxfId="38">
      <pivotArea field="1" type="button" dataOnly="0" labelOnly="1" outline="0" axis="axisRow" fieldPosition="0"/>
    </format>
    <format dxfId="39">
      <pivotArea dataOnly="0" labelOnly="1" outline="0" fieldPosition="0">
        <references count="1">
          <reference field="4294967294" count="1">
            <x v="1"/>
          </reference>
        </references>
      </pivotArea>
    </format>
    <format dxfId="40">
      <pivotArea dataOnly="0" labelOnly="1" outline="0" fieldPosition="0">
        <references count="1">
          <reference field="4294967294" count="1">
            <x v="0"/>
          </reference>
        </references>
      </pivotArea>
    </format>
    <format dxfId="41">
      <pivotArea dataOnly="0" labelOnly="1" outline="0" fieldPosition="0">
        <references count="1">
          <reference field="4294967294" count="1">
            <x v="0"/>
          </reference>
        </references>
      </pivotArea>
    </format>
    <format dxfId="42">
      <pivotArea dataOnly="0" labelOnly="1" outline="0" fieldPosition="0">
        <references count="1">
          <reference field="4294967294" count="1">
            <x v="0"/>
          </reference>
        </references>
      </pivotArea>
    </format>
    <format dxfId="43">
      <pivotArea dataOnly="0" labelOnly="1" outline="0" fieldPosition="0">
        <references count="1">
          <reference field="4294967294" count="1">
            <x v="0"/>
          </reference>
        </references>
      </pivotArea>
    </format>
    <format dxfId="44">
      <pivotArea dataOnly="0" labelOnly="1" outline="0" fieldPosition="0">
        <references count="1">
          <reference field="4294967294" count="1">
            <x v="0"/>
          </reference>
        </references>
      </pivotArea>
    </format>
    <format dxfId="45">
      <pivotArea dataOnly="0" labelOnly="1" outline="0" fieldPosition="0">
        <references count="1">
          <reference field="4294967294" count="1">
            <x v="0"/>
          </reference>
        </references>
      </pivotArea>
    </format>
    <format dxfId="46">
      <pivotArea outline="0" fieldPosition="0">
        <references count="1">
          <reference field="4294967294" count="1">
            <x v="0"/>
          </reference>
        </references>
      </pivotArea>
    </format>
    <format dxfId="47">
      <pivotArea type="all" dataOnly="0" outline="0" fieldPosition="0"/>
    </format>
    <format dxfId="48">
      <pivotArea outline="0" collapsedLevelsAreSubtotals="1" fieldPosition="0"/>
    </format>
    <format dxfId="49">
      <pivotArea field="1" type="button" dataOnly="0" labelOnly="1" outline="0" axis="axisRow" fieldPosition="0"/>
    </format>
    <format dxfId="50">
      <pivotArea dataOnly="0" labelOnly="1" fieldPosition="0">
        <references count="1">
          <reference field="1" count="3">
            <x v="4"/>
            <x v="8"/>
            <x v="38"/>
          </reference>
        </references>
      </pivotArea>
    </format>
    <format dxfId="51">
      <pivotArea dataOnly="0" labelOnly="1" outline="0" fieldPosition="0">
        <references count="1">
          <reference field="4294967294" count="2">
            <x v="0"/>
            <x v="1"/>
          </reference>
        </references>
      </pivotArea>
    </format>
    <format dxfId="52">
      <pivotArea type="all" dataOnly="0" outline="0" fieldPosition="0"/>
    </format>
    <format dxfId="53">
      <pivotArea outline="0" collapsedLevelsAreSubtotals="1" fieldPosition="0"/>
    </format>
    <format dxfId="54">
      <pivotArea field="1" type="button" dataOnly="0" labelOnly="1" outline="0" axis="axisRow" fieldPosition="0"/>
    </format>
    <format dxfId="55">
      <pivotArea dataOnly="0" labelOnly="1" fieldPosition="0">
        <references count="1">
          <reference field="1" count="3">
            <x v="4"/>
            <x v="8"/>
            <x v="38"/>
          </reference>
        </references>
      </pivotArea>
    </format>
    <format dxfId="56">
      <pivotArea dataOnly="0" labelOnly="1" outline="0" fieldPosition="0">
        <references count="1">
          <reference field="4294967294" count="2">
            <x v="0"/>
            <x v="1"/>
          </reference>
        </references>
      </pivotArea>
    </format>
    <format dxfId="57">
      <pivotArea type="all" dataOnly="0" outline="0" fieldPosition="0"/>
    </format>
    <format dxfId="58">
      <pivotArea outline="0" collapsedLevelsAreSubtotals="1" fieldPosition="0"/>
    </format>
    <format dxfId="59">
      <pivotArea field="1" type="button" dataOnly="0" labelOnly="1" outline="0" axis="axisRow" fieldPosition="0"/>
    </format>
    <format dxfId="60">
      <pivotArea dataOnly="0" labelOnly="1" outline="0" fieldPosition="0">
        <references count="1">
          <reference field="4294967294" count="2">
            <x v="0"/>
            <x v="1"/>
          </reference>
        </references>
      </pivotArea>
    </format>
    <format dxfId="61">
      <pivotArea dataOnly="0" labelOnly="1" fieldPosition="0">
        <references count="1">
          <reference field="1" count="3">
            <x v="4"/>
            <x v="8"/>
            <x v="38"/>
          </reference>
        </references>
      </pivotArea>
    </format>
    <format dxfId="62">
      <pivotArea field="1" type="button" dataOnly="0" labelOnly="1" outline="0" axis="axisRow" fieldPosition="0"/>
    </format>
    <format dxfId="63">
      <pivotArea field="1" type="button" dataOnly="0" labelOnly="1" outline="0" axis="axisRow" fieldPosition="0"/>
    </format>
    <format dxfId="64">
      <pivotArea field="1" type="button" dataOnly="0" labelOnly="1" outline="0" axis="axisRow" fieldPosition="0"/>
    </format>
    <format dxfId="65">
      <pivotArea field="1" type="button" dataOnly="0" labelOnly="1" outline="0" axis="axisRow" fieldPosition="0"/>
    </format>
    <format dxfId="66">
      <pivotArea field="1" type="button" dataOnly="0" labelOnly="1" outline="0" axis="axisRow" fieldPosition="0"/>
    </format>
    <format dxfId="67">
      <pivotArea dataOnly="0" labelOnly="1" fieldPosition="0">
        <references count="1">
          <reference field="1" count="3">
            <x v="50"/>
            <x v="51"/>
            <x v="52"/>
          </reference>
        </references>
      </pivotArea>
    </format>
    <format dxfId="68">
      <pivotArea dataOnly="0" labelOnly="1" fieldPosition="0">
        <references count="1">
          <reference field="1" count="3">
            <x v="49"/>
            <x v="50"/>
            <x v="55"/>
          </reference>
        </references>
      </pivotArea>
    </format>
  </formats>
  <conditionalFormats count="1">
    <conditionalFormat priority="1">
      <pivotAreas count="1">
        <pivotArea type="data" outline="0" collapsedLevelsAreSubtotals="1" fieldPosition="0">
          <references count="1">
            <reference field="4294967294" count="1" selected="0">
              <x v="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57F705-4A9E-47CD-987A-B388AE82676A}" name="PivotTable3" cacheId="9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5:A6" firstHeaderRow="1" firstDataRow="1" firstDataCol="0"/>
  <pivotFields count="19">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dataField="1" showAll="0">
      <items count="5">
        <item x="2"/>
        <item x="1"/>
        <item x="0"/>
        <item x="3"/>
        <item t="default"/>
      </items>
    </pivotField>
    <pivotField showAll="0"/>
    <pivotField showAll="0"/>
    <pivotField showAll="0"/>
    <pivotField showAll="0"/>
    <pivotField showAll="0"/>
    <pivotField showAll="0"/>
    <pivotField showAll="0"/>
    <pivotField showAll="0"/>
    <pivotField showAll="0">
      <items count="7">
        <item x="1"/>
        <item x="2"/>
        <item x="3"/>
        <item x="4"/>
        <item x="0"/>
        <item x="5"/>
        <item t="default"/>
      </items>
    </pivotField>
    <pivotField showAll="0">
      <items count="6">
        <item x="1"/>
        <item x="2"/>
        <item x="0"/>
        <item x="3"/>
        <item x="4"/>
        <item t="default"/>
      </items>
    </pivotField>
  </pivotFields>
  <rowItems count="1">
    <i/>
  </rowItems>
  <colItems count="1">
    <i/>
  </colItems>
  <dataFields count="1">
    <dataField name="Count of CATEGORY"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89DEE8D-F104-4C24-B28E-0CAE7C911E72}" name="PivotTable2" cacheId="9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2:A3" firstHeaderRow="1" firstDataRow="1" firstDataCol="0"/>
  <pivotFields count="19">
    <pivotField showAll="0"/>
    <pivotField showAll="0"/>
    <pivotField showAll="0"/>
    <pivotField showAll="0"/>
    <pivotField dataField="1" showAll="0"/>
    <pivotField showAll="0"/>
    <pivotField showAll="0"/>
    <pivotField showAll="0">
      <items count="15">
        <item x="0"/>
        <item x="1"/>
        <item x="2"/>
        <item x="3"/>
        <item x="4"/>
        <item x="5"/>
        <item x="6"/>
        <item x="7"/>
        <item x="8"/>
        <item x="9"/>
        <item x="10"/>
        <item x="11"/>
        <item x="12"/>
        <item x="13"/>
        <item t="default"/>
      </items>
    </pivotField>
    <pivotField showAll="0">
      <items count="5">
        <item x="2"/>
        <item x="1"/>
        <item x="0"/>
        <item x="3"/>
        <item t="default"/>
      </items>
    </pivotField>
    <pivotField showAll="0"/>
    <pivotField showAll="0"/>
    <pivotField showAll="0"/>
    <pivotField showAll="0"/>
    <pivotField showAll="0"/>
    <pivotField showAll="0"/>
    <pivotField showAll="0"/>
    <pivotField showAll="0"/>
    <pivotField showAll="0">
      <items count="7">
        <item x="1"/>
        <item x="2"/>
        <item x="3"/>
        <item x="4"/>
        <item x="0"/>
        <item x="5"/>
        <item t="default"/>
      </items>
    </pivotField>
    <pivotField showAll="0">
      <items count="6">
        <item x="1"/>
        <item x="2"/>
        <item x="0"/>
        <item x="3"/>
        <item x="4"/>
        <item t="default"/>
      </items>
    </pivotField>
  </pivotFields>
  <rowItems count="1">
    <i/>
  </rowItems>
  <colItems count="1">
    <i/>
  </colItems>
  <dataFields count="1">
    <dataField name="Sum of PROGRESS"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B6AD954-A567-4B09-9397-D9DADE46918A}" name="PivotTable6" cacheId="913"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
  <location ref="F3:G14" firstHeaderRow="1" firstDataRow="1" firstDataCol="1" rowPageCount="1" colPageCount="1"/>
  <pivotFields count="19">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Row" showAll="0" defaultSubtotal="0">
      <items count="14">
        <item x="0"/>
        <item x="1"/>
        <item x="2"/>
        <item x="3"/>
        <item x="4"/>
        <item x="5"/>
        <item x="6"/>
        <item x="7"/>
        <item x="8"/>
        <item x="9"/>
        <item x="10"/>
        <item x="11"/>
        <item x="12"/>
        <item x="13"/>
      </items>
    </pivotField>
    <pivotField showAll="0" defaultSubtotal="0">
      <items count="4">
        <item x="2"/>
        <item x="1"/>
        <item x="0"/>
        <item x="3"/>
      </items>
    </pivotField>
    <pivotField showAll="0" defaultSubtotal="0"/>
    <pivotField showAll="0" defaultSubtotal="0"/>
    <pivotField showAll="0" defaultSubtotal="0"/>
    <pivotField showAll="0" defaultSubtotal="0"/>
    <pivotField showAll="0" defaultSubtotal="0"/>
    <pivotField axis="axisPage" showAll="0" defaultSubtotal="0">
      <items count="4">
        <item x="0"/>
        <item m="1" x="3"/>
        <item x="1"/>
        <item x="2"/>
      </items>
    </pivotField>
    <pivotField showAll="0" defaultSubtotal="0"/>
    <pivotField showAll="0" defaultSubtotal="0"/>
    <pivotField showAll="0" defaultSubtotal="0">
      <items count="6">
        <item sd="0" x="1"/>
        <item sd="0" x="2"/>
        <item sd="0" x="3"/>
        <item sd="0" x="4"/>
        <item x="0"/>
        <item x="5"/>
      </items>
    </pivotField>
    <pivotField axis="axisRow" showAll="0" defaultSubtotal="0">
      <items count="5">
        <item x="1"/>
        <item x="2"/>
        <item x="0"/>
        <item x="3"/>
        <item x="4"/>
      </items>
    </pivotField>
  </pivotFields>
  <rowFields count="2">
    <field x="18"/>
    <field x="7"/>
  </rowFields>
  <rowItems count="11">
    <i>
      <x/>
    </i>
    <i r="1">
      <x v="2"/>
    </i>
    <i r="1">
      <x v="4"/>
    </i>
    <i r="1">
      <x v="5"/>
    </i>
    <i r="1">
      <x v="10"/>
    </i>
    <i r="1">
      <x v="11"/>
    </i>
    <i>
      <x v="1"/>
    </i>
    <i r="1">
      <x v="1"/>
    </i>
    <i r="1">
      <x v="2"/>
    </i>
    <i r="1">
      <x v="4"/>
    </i>
    <i r="1">
      <x v="12"/>
    </i>
  </rowItems>
  <colItems count="1">
    <i/>
  </colItems>
  <pageFields count="1">
    <pageField fld="14" item="0" hier="-1"/>
  </pageFields>
  <dataFields count="1">
    <dataField name="Sum of TOTAL PAGES" fld="3"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A06518-9C51-436F-B02C-41A284BD4255}" name="PivotTable5" cacheId="913"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5">
  <location ref="C3:D14" firstHeaderRow="1" firstDataRow="1" firstDataCol="1" rowPageCount="1" colPageCount="1"/>
  <pivotFields count="19">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14">
        <item x="0"/>
        <item x="1"/>
        <item x="2"/>
        <item x="3"/>
        <item x="4"/>
        <item x="5"/>
        <item x="6"/>
        <item x="7"/>
        <item x="8"/>
        <item x="9"/>
        <item x="10"/>
        <item x="11"/>
        <item x="12"/>
        <item x="13"/>
      </items>
    </pivotField>
    <pivotField dataField="1" showAll="0" defaultSubtotal="0">
      <items count="4">
        <item x="2"/>
        <item x="1"/>
        <item x="0"/>
        <item x="3"/>
      </items>
    </pivotField>
    <pivotField showAll="0" defaultSubtotal="0"/>
    <pivotField showAll="0" defaultSubtotal="0"/>
    <pivotField showAll="0" defaultSubtotal="0"/>
    <pivotField showAll="0" defaultSubtotal="0"/>
    <pivotField showAll="0" defaultSubtotal="0"/>
    <pivotField axis="axisPage" showAll="0" defaultSubtotal="0">
      <items count="4">
        <item x="0"/>
        <item m="1" x="3"/>
        <item x="1"/>
        <item x="2"/>
      </items>
    </pivotField>
    <pivotField showAll="0" defaultSubtotal="0"/>
    <pivotField showAll="0" defaultSubtotal="0"/>
    <pivotField showAll="0" defaultSubtotal="0">
      <items count="6">
        <item sd="0" x="1"/>
        <item sd="0" x="2"/>
        <item sd="0" x="3"/>
        <item sd="0" x="4"/>
        <item x="0"/>
        <item x="5"/>
      </items>
    </pivotField>
    <pivotField axis="axisRow" showAll="0" defaultSubtotal="0">
      <items count="5">
        <item x="1"/>
        <item x="2"/>
        <item x="0"/>
        <item x="3"/>
        <item x="4"/>
      </items>
    </pivotField>
  </pivotFields>
  <rowFields count="2">
    <field x="18"/>
    <field x="7"/>
  </rowFields>
  <rowItems count="11">
    <i>
      <x/>
    </i>
    <i r="1">
      <x v="2"/>
    </i>
    <i r="1">
      <x v="4"/>
    </i>
    <i r="1">
      <x v="5"/>
    </i>
    <i r="1">
      <x v="10"/>
    </i>
    <i r="1">
      <x v="11"/>
    </i>
    <i>
      <x v="1"/>
    </i>
    <i r="1">
      <x v="1"/>
    </i>
    <i r="1">
      <x v="2"/>
    </i>
    <i r="1">
      <x v="4"/>
    </i>
    <i r="1">
      <x v="12"/>
    </i>
  </rowItems>
  <colItems count="1">
    <i/>
  </colItems>
  <pageFields count="1">
    <pageField fld="14" item="0" hier="-1"/>
  </pageFields>
  <dataFields count="1">
    <dataField name="Count of CATEGORY" fld="8" subtotal="count"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293C005-FF35-4FD8-B907-19483C779F4E}" name="PivotTable4" cacheId="913"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6">
  <location ref="I3:L6" firstHeaderRow="1" firstDataRow="2" firstDataCol="1" rowPageCount="1" colPageCount="1"/>
  <pivotFields count="19">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axis="axisCol" dataField="1" showAll="0">
      <items count="5">
        <item x="2"/>
        <item x="1"/>
        <item x="0"/>
        <item x="3"/>
        <item t="default"/>
      </items>
    </pivotField>
    <pivotField showAll="0"/>
    <pivotField showAll="0"/>
    <pivotField showAll="0"/>
    <pivotField showAll="0"/>
    <pivotField showAll="0"/>
    <pivotField axis="axisPage" showAll="0">
      <items count="5">
        <item x="0"/>
        <item m="1" x="3"/>
        <item x="1"/>
        <item x="2"/>
        <item t="default"/>
      </items>
    </pivotField>
    <pivotField showAll="0"/>
    <pivotField showAll="0"/>
    <pivotField showAll="0">
      <items count="7">
        <item sd="0" x="1"/>
        <item sd="0" x="2"/>
        <item sd="0" x="3"/>
        <item sd="0" x="4"/>
        <item x="0"/>
        <item x="5"/>
        <item t="default"/>
      </items>
    </pivotField>
    <pivotField axis="axisRow" showAll="0">
      <items count="6">
        <item sd="0" x="1"/>
        <item sd="0" x="2"/>
        <item x="0"/>
        <item x="3"/>
        <item x="4"/>
        <item t="default"/>
      </items>
    </pivotField>
  </pivotFields>
  <rowFields count="2">
    <field x="18"/>
    <field x="7"/>
  </rowFields>
  <rowItems count="2">
    <i>
      <x/>
    </i>
    <i>
      <x v="1"/>
    </i>
  </rowItems>
  <colFields count="1">
    <field x="8"/>
  </colFields>
  <colItems count="3">
    <i>
      <x/>
    </i>
    <i>
      <x v="1"/>
    </i>
    <i>
      <x v="2"/>
    </i>
  </colItems>
  <pageFields count="1">
    <pageField fld="14" item="0" hier="-1"/>
  </pageFields>
  <dataFields count="1">
    <dataField name="Count of CATEGORY" fld="8" subtotal="count" baseField="0" baseItem="0"/>
  </dataFields>
  <chartFormats count="4">
    <chartFormat chart="5" format="6" series="1">
      <pivotArea type="data" outline="0" fieldPosition="0">
        <references count="2">
          <reference field="4294967294" count="1" selected="0">
            <x v="0"/>
          </reference>
          <reference field="8" count="1" selected="0">
            <x v="0"/>
          </reference>
        </references>
      </pivotArea>
    </chartFormat>
    <chartFormat chart="5" format="7" series="1">
      <pivotArea type="data" outline="0" fieldPosition="0">
        <references count="2">
          <reference field="4294967294" count="1" selected="0">
            <x v="0"/>
          </reference>
          <reference field="8" count="1" selected="0">
            <x v="1"/>
          </reference>
        </references>
      </pivotArea>
    </chartFormat>
    <chartFormat chart="5" format="8" series="1">
      <pivotArea type="data" outline="0" fieldPosition="0">
        <references count="2">
          <reference field="4294967294" count="1" selected="0">
            <x v="0"/>
          </reference>
          <reference field="8" count="1" selected="0">
            <x v="2"/>
          </reference>
        </references>
      </pivotArea>
    </chartFormat>
    <chartFormat chart="5"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D8ED94DA-B3D1-4985-91A6-AFEA56F11CAC}" sourceName="Years">
  <pivotTables>
    <pivotTable tabId="8" name="PivotTable4"/>
    <pivotTable tabId="8" name="PivotTable2"/>
    <pivotTable tabId="8" name="PivotTable3"/>
    <pivotTable tabId="8" name="PivotTable5"/>
    <pivotTable tabId="8" name="PivotTable6"/>
    <pivotTable tabId="6" name="PivotTable1"/>
  </pivotTables>
  <data>
    <tabular pivotCacheId="1832467236">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966D0E5-FC29-4BCE-AA7F-020B4B25B341}" sourceName="CATEGORY">
  <pivotTables>
    <pivotTable tabId="8" name="PivotTable4"/>
    <pivotTable tabId="6" name="PivotTable1"/>
    <pivotTable tabId="8" name="PivotTable2"/>
    <pivotTable tabId="8" name="PivotTable3"/>
    <pivotTable tabId="8" name="PivotTable5"/>
    <pivotTable tabId="8" name="PivotTable6"/>
  </pivotTables>
  <data>
    <tabular pivotCacheId="1832467236">
      <items count="4">
        <i x="2" s="1"/>
        <i x="1" s="1"/>
        <i x="0" s="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xr10:uid="{42DA9A0B-D622-4884-B5FB-E8B6BA765089}" cache="Slicer_Years" caption="Years" style="Slicer Style 1" rowHeight="241300"/>
  <slicer name="CATEGORY" xr10:uid="{9C197954-DF7C-4458-A07D-040F280FE7CB}" cache="Slicer_CATEGORY" caption="CATEGORY"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51C2C54-223D-4A43-A84E-5EA7EB48C8F9}" name="Table1" displayName="Table1" ref="C1:S236" totalsRowShown="0" headerRowDxfId="17" headerRowCellStyle="Normal 2">
  <tableColumns count="17">
    <tableColumn id="1" xr3:uid="{6E66F5E5-B530-49D8-9B57-ACF6359E5FDD}" name="NO" dataDxfId="16" dataCellStyle="Normal 2"/>
    <tableColumn id="2" xr3:uid="{B559D5F7-E917-4800-AC76-2EA3D858CB07}" name="TITLE" dataDxfId="15" dataCellStyle="Normal 2"/>
    <tableColumn id="3" xr3:uid="{267C15C9-6549-48AE-96D4-31488F40D8CB}" name="AUTHOR" dataDxfId="14" dataCellStyle="Normal 2"/>
    <tableColumn id="19" xr3:uid="{F7DAFB58-F66E-445C-AB24-7252D97E1674}" name="TOTAL PAGES" dataDxfId="13" dataCellStyle="Normal 2"/>
    <tableColumn id="7" xr3:uid="{E893DBE3-BE24-4681-BC0F-ED3378A4C591}" name="PROGRESS" dataDxfId="12" dataCellStyle="Normal 2"/>
    <tableColumn id="8" xr3:uid="{53564B89-5E91-4CCE-8A12-011DF919A3EE}" name="START" dataDxfId="11" dataCellStyle="Normal 2"/>
    <tableColumn id="18" xr3:uid="{5C94E23B-69A5-4602-82C9-B81993596DB2}" name="DURATION" dataDxfId="10" dataCellStyle="Normal 2"/>
    <tableColumn id="4" xr3:uid="{F18B7E27-143C-4FEE-8D41-2868D2238C14}" name="TARGET FINISH" dataDxfId="9" dataCellStyle="Normal 2">
      <calculatedColumnFormula>Table1[[#This Row],[START]]+Table1[[#This Row],[DURATION]]</calculatedColumnFormula>
    </tableColumn>
    <tableColumn id="21" xr3:uid="{357D88C3-99E0-464C-B384-E8B9E58D26A1}" name="CATEGORY" dataDxfId="8" dataCellStyle="Normal 2"/>
    <tableColumn id="22" xr3:uid="{E6EC9F52-A985-4EB5-AA59-EB5D1122E4C5}" name="REST" dataDxfId="7" dataCellStyle="Normal 2"/>
    <tableColumn id="11" xr3:uid="{36725990-D9C5-43D3-AC82-ED495E084794}" name="PAGES/DAY" dataDxfId="6" dataCellStyle="Normal 2"/>
    <tableColumn id="12" xr3:uid="{C24C1426-38D9-4EE6-A55A-060E3505F57F}" name="TODAY'S TARGET" dataDxfId="5" dataCellStyle="Normal 2"/>
    <tableColumn id="13" xr3:uid="{E2B44335-837F-4BAB-9EDE-ACC4723A0C84}" name="AVG READ/DAY" dataDxfId="4" dataCellStyle="Normal 2"/>
    <tableColumn id="14" xr3:uid="{1F9AE88C-8E1C-4DAA-9A53-517352493347}" name="%" dataDxfId="3" dataCellStyle="Normal 2"/>
    <tableColumn id="15" xr3:uid="{FA67BD41-A097-4451-8ADF-03D7674E76E7}" name="STATUS" dataDxfId="2" dataCellStyle="Normal 2"/>
    <tableColumn id="16" xr3:uid="{2DA087B2-A43D-4633-B27D-038474D9B50B}" name="FORMAT" dataDxfId="1" dataCellStyle="Normal 2"/>
    <tableColumn id="17" xr3:uid="{D9867A28-C4BC-41CE-B6C3-30477FC1B0E9}" name="LINK" dataDxfId="0" dataCellStyle="Normal 2"/>
  </tableColumns>
  <tableStyleInfo showFirstColumn="0" showLastColumn="0" showRowStripes="0" showColumnStripes="0"/>
</table>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9DA16-8141-4B15-BE10-E7A7EACFB21C}">
  <sheetPr codeName="Sheet1"/>
  <dimension ref="A2:T16"/>
  <sheetViews>
    <sheetView showGridLines="0" showRowColHeaders="0" zoomScale="80" zoomScaleNormal="80" workbookViewId="0">
      <selection activeCell="A4" sqref="A4:B4"/>
    </sheetView>
  </sheetViews>
  <sheetFormatPr defaultColWidth="0" defaultRowHeight="14.45"/>
  <cols>
    <col min="1" max="1" width="12.7109375" style="10" bestFit="1" customWidth="1"/>
    <col min="2" max="2" width="9.5703125" style="10" customWidth="1"/>
    <col min="3" max="4" width="8.7109375" customWidth="1"/>
    <col min="5" max="5" width="11.5703125" customWidth="1"/>
    <col min="6" max="6" width="30.140625" bestFit="1" customWidth="1"/>
    <col min="7" max="7" width="15.85546875" bestFit="1" customWidth="1"/>
    <col min="8" max="8" width="10.5703125" bestFit="1" customWidth="1"/>
    <col min="9" max="9" width="5.5703125" customWidth="1"/>
    <col min="10" max="10" width="15.85546875" bestFit="1" customWidth="1"/>
    <col min="11" max="12" width="15.85546875" customWidth="1"/>
    <col min="13" max="13" width="7.7109375" customWidth="1"/>
    <col min="14" max="14" width="10.140625" hidden="1" customWidth="1"/>
    <col min="15" max="20" width="0" hidden="1" customWidth="1"/>
    <col min="21" max="16384" width="8.7109375" hidden="1"/>
  </cols>
  <sheetData>
    <row r="2" spans="1:14" ht="14.45" customHeight="1">
      <c r="A2" s="54">
        <f ca="1">NOW()</f>
        <v>44909.186515624999</v>
      </c>
      <c r="B2" s="55"/>
      <c r="C2" s="56" t="s">
        <v>0</v>
      </c>
      <c r="D2" s="57"/>
      <c r="E2" s="57"/>
      <c r="F2" s="57"/>
      <c r="G2" s="57"/>
      <c r="H2" s="57"/>
      <c r="I2" s="57"/>
      <c r="J2" s="57"/>
      <c r="K2" s="57"/>
      <c r="L2" s="57"/>
      <c r="M2" s="57"/>
      <c r="N2" s="57"/>
    </row>
    <row r="3" spans="1:14" ht="11.1" customHeight="1">
      <c r="A3" s="51" t="s">
        <v>1</v>
      </c>
      <c r="B3" s="52"/>
      <c r="C3" s="56"/>
      <c r="D3" s="57"/>
      <c r="E3" s="57"/>
      <c r="F3" s="57"/>
      <c r="G3" s="57"/>
      <c r="H3" s="57"/>
      <c r="I3" s="57"/>
      <c r="J3" s="57"/>
      <c r="K3" s="57"/>
      <c r="L3" s="57"/>
      <c r="M3" s="57"/>
      <c r="N3" s="57"/>
    </row>
    <row r="4" spans="1:14" ht="21" customHeight="1">
      <c r="A4" s="53" t="s">
        <v>2</v>
      </c>
      <c r="B4" s="52"/>
      <c r="C4" s="38"/>
      <c r="D4" s="39"/>
      <c r="E4" s="39"/>
      <c r="F4" s="39"/>
      <c r="G4" s="39"/>
      <c r="H4" s="39"/>
      <c r="I4" s="39"/>
      <c r="J4" s="39"/>
      <c r="K4" s="39"/>
      <c r="L4" s="39"/>
      <c r="M4" s="39"/>
      <c r="N4" s="39"/>
    </row>
    <row r="5" spans="1:14" ht="16.5" customHeight="1">
      <c r="C5" s="35"/>
      <c r="D5" s="35"/>
      <c r="E5" s="35"/>
      <c r="F5" s="36" t="s">
        <v>3</v>
      </c>
      <c r="G5" s="37" t="s">
        <v>4</v>
      </c>
      <c r="I5" s="35"/>
      <c r="J5" s="35"/>
      <c r="K5" s="35"/>
      <c r="L5" s="35"/>
      <c r="M5" s="35"/>
      <c r="N5" s="35"/>
    </row>
    <row r="6" spans="1:14" ht="16.5" customHeight="1">
      <c r="A6" s="14"/>
      <c r="B6" s="14"/>
      <c r="C6" s="35"/>
      <c r="D6" s="35"/>
      <c r="E6" s="35"/>
      <c r="F6" s="20">
        <f>GETPIVOTDATA("PROGRESS",'Pivot Table'!$A$2)</f>
        <v>4336</v>
      </c>
      <c r="G6" s="20">
        <f>GETPIVOTDATA("CATEGORY",'Pivot Table'!$A$5)</f>
        <v>16</v>
      </c>
      <c r="I6" s="35"/>
      <c r="J6" s="35"/>
      <c r="K6" s="35"/>
      <c r="L6" s="35"/>
      <c r="M6" s="35"/>
      <c r="N6" s="35"/>
    </row>
    <row r="7" spans="1:14" ht="18.600000000000001">
      <c r="A7" s="51"/>
      <c r="B7" s="52"/>
      <c r="F7" s="19" t="s">
        <v>5</v>
      </c>
      <c r="G7" s="9" t="s">
        <v>6</v>
      </c>
    </row>
    <row r="9" spans="1:14">
      <c r="F9" s="16" t="s">
        <v>7</v>
      </c>
      <c r="G9" s="16" t="s">
        <v>8</v>
      </c>
      <c r="H9" s="16" t="s">
        <v>9</v>
      </c>
    </row>
    <row r="10" spans="1:14">
      <c r="A10" s="11"/>
      <c r="B10" s="11"/>
      <c r="F10" s="9" t="s">
        <v>10</v>
      </c>
      <c r="G10" s="17">
        <v>54</v>
      </c>
      <c r="H10" s="18">
        <v>0.4</v>
      </c>
    </row>
    <row r="11" spans="1:14" ht="15.6">
      <c r="A11" s="12" t="s">
        <v>11</v>
      </c>
      <c r="B11" s="11"/>
      <c r="F11" s="9" t="s">
        <v>12</v>
      </c>
      <c r="G11" s="17">
        <v>0</v>
      </c>
      <c r="H11" s="18">
        <v>0.2857142857142857</v>
      </c>
    </row>
    <row r="12" spans="1:14" ht="18.600000000000001">
      <c r="A12" s="13">
        <f ca="1">NOW()</f>
        <v>44909.186515624999</v>
      </c>
      <c r="F12" s="9" t="s">
        <v>13</v>
      </c>
      <c r="G12" s="17">
        <v>55</v>
      </c>
      <c r="H12" s="18">
        <v>0.08</v>
      </c>
    </row>
    <row r="13" spans="1:14">
      <c r="F13" s="9" t="s">
        <v>14</v>
      </c>
      <c r="G13" s="17">
        <v>17.125</v>
      </c>
      <c r="H13" s="18">
        <v>2.6666666666666668E-2</v>
      </c>
    </row>
    <row r="15" spans="1:14">
      <c r="F15" s="34"/>
    </row>
    <row r="16" spans="1:14">
      <c r="F16" s="34"/>
    </row>
  </sheetData>
  <mergeCells count="5">
    <mergeCell ref="A7:B7"/>
    <mergeCell ref="A3:B3"/>
    <mergeCell ref="A4:B4"/>
    <mergeCell ref="A2:B2"/>
    <mergeCell ref="C2:N3"/>
  </mergeCells>
  <conditionalFormatting pivot="1" sqref="H10:H13">
    <cfRule type="colorScale" priority="1">
      <colorScale>
        <cfvo type="min"/>
        <cfvo type="percentile" val="50"/>
        <cfvo type="max"/>
        <color rgb="FFF8696B"/>
        <color rgb="FFFFEB84"/>
        <color rgb="FF63BE7B"/>
      </colorScale>
    </cfRule>
  </conditionalFormatting>
  <hyperlinks>
    <hyperlink ref="A4:B4" location="'Reading Tracker'!A1" display="READING TRACKER" xr:uid="{5640EB04-3836-4717-9E93-07611FEFFDFF}"/>
  </hyperlinks>
  <pageMargins left="0.7" right="0.7" top="0.75" bottom="0.75" header="0.3" footer="0.3"/>
  <pageSetup paperSize="8"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1030" r:id="rId5" name="Button 6">
              <controlPr defaultSize="0" print="0" autoFill="0" autoPict="0" macro="[1]!Macro1">
                <anchor moveWithCells="1" sizeWithCells="1">
                  <from>
                    <xdr:col>0</xdr:col>
                    <xdr:colOff>247650</xdr:colOff>
                    <xdr:row>3</xdr:row>
                    <xdr:rowOff>266700</xdr:rowOff>
                  </from>
                  <to>
                    <xdr:col>1</xdr:col>
                    <xdr:colOff>501650</xdr:colOff>
                    <xdr:row>6</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F51BE-47EB-4C2E-9ADC-35B2F971147C}">
  <sheetPr codeName="Sheet2"/>
  <dimension ref="A1:L14"/>
  <sheetViews>
    <sheetView workbookViewId="0">
      <selection activeCell="D17" sqref="D17"/>
    </sheetView>
  </sheetViews>
  <sheetFormatPr defaultRowHeight="14.45"/>
  <cols>
    <col min="1" max="1" width="15.85546875" bestFit="1" customWidth="1"/>
    <col min="2" max="2" width="8.140625" bestFit="1" customWidth="1"/>
    <col min="3" max="3" width="12.42578125" bestFit="1" customWidth="1"/>
    <col min="4" max="4" width="17.7109375" bestFit="1" customWidth="1"/>
    <col min="5" max="5" width="10.7109375" bestFit="1" customWidth="1"/>
    <col min="6" max="6" width="12.42578125" bestFit="1" customWidth="1"/>
    <col min="7" max="7" width="18.5703125" bestFit="1" customWidth="1"/>
    <col min="9" max="9" width="17.7109375" bestFit="1" customWidth="1"/>
    <col min="10" max="10" width="15.28515625" bestFit="1" customWidth="1"/>
    <col min="11" max="12" width="8.140625" bestFit="1" customWidth="1"/>
    <col min="15" max="15" width="30.140625" bestFit="1" customWidth="1"/>
    <col min="16" max="16" width="15.85546875" bestFit="1" customWidth="1"/>
    <col min="17" max="17" width="11.85546875" bestFit="1" customWidth="1"/>
  </cols>
  <sheetData>
    <row r="1" spans="1:12">
      <c r="C1" s="2" t="s">
        <v>5</v>
      </c>
      <c r="D1" t="s">
        <v>15</v>
      </c>
      <c r="F1" s="2" t="s">
        <v>5</v>
      </c>
      <c r="G1" t="s">
        <v>15</v>
      </c>
      <c r="I1" s="2" t="s">
        <v>5</v>
      </c>
      <c r="J1" t="s">
        <v>15</v>
      </c>
    </row>
    <row r="2" spans="1:12">
      <c r="A2" t="s">
        <v>16</v>
      </c>
    </row>
    <row r="3" spans="1:12">
      <c r="A3">
        <v>4336</v>
      </c>
      <c r="C3" s="2" t="s">
        <v>17</v>
      </c>
      <c r="D3" t="s">
        <v>18</v>
      </c>
      <c r="F3" s="2" t="s">
        <v>17</v>
      </c>
      <c r="G3" t="s">
        <v>19</v>
      </c>
      <c r="I3" s="2" t="s">
        <v>18</v>
      </c>
      <c r="J3" s="2" t="s">
        <v>20</v>
      </c>
    </row>
    <row r="4" spans="1:12">
      <c r="C4" s="3" t="s">
        <v>21</v>
      </c>
      <c r="F4" s="3" t="s">
        <v>21</v>
      </c>
      <c r="I4" s="2" t="s">
        <v>17</v>
      </c>
      <c r="J4" t="s">
        <v>22</v>
      </c>
      <c r="K4" t="s">
        <v>23</v>
      </c>
      <c r="L4" t="s">
        <v>24</v>
      </c>
    </row>
    <row r="5" spans="1:12">
      <c r="A5" t="s">
        <v>18</v>
      </c>
      <c r="C5" s="15" t="s">
        <v>25</v>
      </c>
      <c r="D5">
        <v>1</v>
      </c>
      <c r="F5" s="15" t="s">
        <v>25</v>
      </c>
      <c r="G5">
        <v>268</v>
      </c>
      <c r="I5" s="3" t="s">
        <v>21</v>
      </c>
      <c r="J5">
        <v>3</v>
      </c>
      <c r="K5">
        <v>1</v>
      </c>
      <c r="L5">
        <v>2</v>
      </c>
    </row>
    <row r="6" spans="1:12">
      <c r="A6">
        <v>16</v>
      </c>
      <c r="C6" s="15" t="s">
        <v>26</v>
      </c>
      <c r="D6">
        <v>1</v>
      </c>
      <c r="F6" s="15" t="s">
        <v>26</v>
      </c>
      <c r="G6">
        <v>604</v>
      </c>
      <c r="I6" s="3" t="s">
        <v>27</v>
      </c>
      <c r="J6">
        <v>2</v>
      </c>
      <c r="K6">
        <v>2</v>
      </c>
      <c r="L6">
        <v>2</v>
      </c>
    </row>
    <row r="7" spans="1:12">
      <c r="C7" s="15" t="s">
        <v>28</v>
      </c>
      <c r="D7">
        <v>2</v>
      </c>
      <c r="F7" s="15" t="s">
        <v>28</v>
      </c>
      <c r="G7">
        <v>786</v>
      </c>
    </row>
    <row r="8" spans="1:12">
      <c r="C8" s="15" t="s">
        <v>29</v>
      </c>
      <c r="D8">
        <v>1</v>
      </c>
      <c r="F8" s="15" t="s">
        <v>29</v>
      </c>
      <c r="G8">
        <v>306</v>
      </c>
    </row>
    <row r="9" spans="1:12">
      <c r="C9" s="15" t="s">
        <v>30</v>
      </c>
      <c r="D9">
        <v>1</v>
      </c>
      <c r="F9" s="15" t="s">
        <v>30</v>
      </c>
      <c r="G9">
        <v>235</v>
      </c>
    </row>
    <row r="10" spans="1:12">
      <c r="C10" s="3" t="s">
        <v>27</v>
      </c>
      <c r="F10" s="3" t="s">
        <v>27</v>
      </c>
    </row>
    <row r="11" spans="1:12">
      <c r="C11" s="15" t="s">
        <v>31</v>
      </c>
      <c r="D11">
        <v>1</v>
      </c>
      <c r="F11" s="15" t="s">
        <v>31</v>
      </c>
      <c r="G11">
        <v>541</v>
      </c>
    </row>
    <row r="12" spans="1:12">
      <c r="C12" s="15" t="s">
        <v>25</v>
      </c>
      <c r="D12">
        <v>3</v>
      </c>
      <c r="F12" s="15" t="s">
        <v>25</v>
      </c>
      <c r="G12">
        <v>1317</v>
      </c>
    </row>
    <row r="13" spans="1:12">
      <c r="C13" s="15" t="s">
        <v>26</v>
      </c>
      <c r="D13">
        <v>1</v>
      </c>
      <c r="F13" s="15" t="s">
        <v>26</v>
      </c>
      <c r="G13">
        <v>88</v>
      </c>
    </row>
    <row r="14" spans="1:12">
      <c r="C14" s="15" t="s">
        <v>32</v>
      </c>
      <c r="D14">
        <v>1</v>
      </c>
      <c r="F14" s="15" t="s">
        <v>32</v>
      </c>
      <c r="G14">
        <v>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7FCEDD-4052-4923-8ED9-C8C09904E7CC}">
  <sheetPr codeName="Sheet3"/>
  <dimension ref="A1:Y236"/>
  <sheetViews>
    <sheetView showGridLines="0" tabSelected="1" zoomScale="80" zoomScaleNormal="80" workbookViewId="0">
      <pane xSplit="4" topLeftCell="E1" activePane="topRight" state="frozen"/>
      <selection pane="topRight" activeCell="M14" sqref="M14"/>
    </sheetView>
  </sheetViews>
  <sheetFormatPr defaultColWidth="0" defaultRowHeight="14.45"/>
  <cols>
    <col min="1" max="1" width="12.7109375" style="10" bestFit="1" customWidth="1"/>
    <col min="2" max="2" width="9.5703125" style="10" customWidth="1"/>
    <col min="3" max="3" width="5.42578125" style="4" customWidth="1"/>
    <col min="4" max="4" width="15.140625" style="6" customWidth="1"/>
    <col min="5" max="5" width="9.140625" style="6" bestFit="1" customWidth="1"/>
    <col min="6" max="6" width="13.5703125" style="4" bestFit="1" customWidth="1"/>
    <col min="7" max="7" width="12.7109375" style="4" customWidth="1"/>
    <col min="8" max="8" width="10.5703125" style="5" bestFit="1" customWidth="1"/>
    <col min="9" max="9" width="11.28515625" style="33" bestFit="1" customWidth="1"/>
    <col min="10" max="10" width="14.5703125" style="33" bestFit="1" customWidth="1"/>
    <col min="11" max="11" width="11.140625" style="33" bestFit="1" customWidth="1"/>
    <col min="12" max="12" width="6.42578125" style="33" bestFit="1" customWidth="1"/>
    <col min="13" max="13" width="11.85546875" style="4" bestFit="1" customWidth="1"/>
    <col min="14" max="14" width="17.140625" style="4" customWidth="1"/>
    <col min="15" max="15" width="15.5703125" style="4" bestFit="1" customWidth="1"/>
    <col min="16" max="16" width="5.5703125" style="4" bestFit="1" customWidth="1"/>
    <col min="17" max="17" width="9.5703125" style="27" bestFit="1" customWidth="1"/>
    <col min="18" max="18" width="9.28515625" style="28" bestFit="1" customWidth="1"/>
    <col min="19" max="19" width="7.85546875" style="29" bestFit="1" customWidth="1"/>
    <col min="20" max="25" width="0" style="6" hidden="1" customWidth="1"/>
    <col min="26" max="16384" width="8.7109375" style="6" hidden="1"/>
  </cols>
  <sheetData>
    <row r="1" spans="1:19" s="24" customFormat="1" ht="16.5" customHeight="1">
      <c r="A1" s="54">
        <f ca="1">NOW()</f>
        <v>44909.186515624999</v>
      </c>
      <c r="B1" s="55"/>
      <c r="C1" s="50" t="s">
        <v>33</v>
      </c>
      <c r="D1" s="22" t="s">
        <v>7</v>
      </c>
      <c r="E1" s="22" t="s">
        <v>34</v>
      </c>
      <c r="F1" s="22" t="s">
        <v>35</v>
      </c>
      <c r="G1" s="22" t="s">
        <v>36</v>
      </c>
      <c r="H1" s="23" t="s">
        <v>37</v>
      </c>
      <c r="I1" s="32" t="s">
        <v>38</v>
      </c>
      <c r="J1" s="49" t="s">
        <v>39</v>
      </c>
      <c r="K1" s="21" t="s">
        <v>40</v>
      </c>
      <c r="L1" s="21" t="s">
        <v>41</v>
      </c>
      <c r="M1" s="21" t="s">
        <v>42</v>
      </c>
      <c r="N1" s="21" t="s">
        <v>43</v>
      </c>
      <c r="O1" s="21" t="s">
        <v>44</v>
      </c>
      <c r="P1" s="21" t="s">
        <v>45</v>
      </c>
      <c r="Q1" s="21" t="s">
        <v>5</v>
      </c>
      <c r="R1" s="21" t="s">
        <v>46</v>
      </c>
      <c r="S1" s="21" t="s">
        <v>47</v>
      </c>
    </row>
    <row r="2" spans="1:19" ht="14.45" customHeight="1">
      <c r="A2" s="51" t="s">
        <v>1</v>
      </c>
      <c r="B2" s="51"/>
      <c r="C2" s="40">
        <v>1</v>
      </c>
      <c r="D2" s="41" t="s">
        <v>48</v>
      </c>
      <c r="E2" s="41" t="s">
        <v>49</v>
      </c>
      <c r="F2" s="42">
        <v>268</v>
      </c>
      <c r="G2" s="42">
        <v>268</v>
      </c>
      <c r="H2" s="43">
        <v>44213</v>
      </c>
      <c r="I2" s="44">
        <v>21</v>
      </c>
      <c r="J2" s="43">
        <f>Table1[[#This Row],[START]]+Table1[[#This Row],[DURATION]]</f>
        <v>44234</v>
      </c>
      <c r="K2" s="1" t="s">
        <v>24</v>
      </c>
      <c r="L2" s="42">
        <f>Table1[[#This Row],[PROGRESS]]-Table1[[#This Row],[TOTAL PAGES]]</f>
        <v>0</v>
      </c>
      <c r="M2" s="45" t="str">
        <f ca="1">IFERROR((Table1[[#This Row],[REST]]*(-1))/((DATEDIF($A$1,Table1[[#This Row],[TARGET FINISH]],"d"))),"-")</f>
        <v>-</v>
      </c>
      <c r="N2" s="45" t="str">
        <f>IFERROR(G2+#REF!,"-")</f>
        <v>-</v>
      </c>
      <c r="O2" s="45">
        <f>IFERROR(Table1[[#This Row],[TOTAL PAGES]]/(DATEDIF(H2,Table1[[#This Row],[TARGET FINISH]],"d")),"-")</f>
        <v>12.761904761904763</v>
      </c>
      <c r="P2" s="8">
        <f>G2/Table1[[#This Row],[TOTAL PAGES]]</f>
        <v>1</v>
      </c>
      <c r="Q2" s="26" t="str">
        <f t="shared" ref="Q2:Q12" si="0">_xlfn.IFS(P2=100%, "FINISH",P2=0%,"NOT YET",P2&lt;100%,"ON GOING")</f>
        <v>FINISH</v>
      </c>
      <c r="R2" s="25" t="s">
        <v>50</v>
      </c>
      <c r="S2" s="46" t="str">
        <f t="shared" ref="S2:S12" si="1">IF(R2="EBOOK", "CLICK", "-")</f>
        <v>CLICK</v>
      </c>
    </row>
    <row r="3" spans="1:19" ht="14.45" customHeight="1">
      <c r="A3" s="58" t="s">
        <v>2</v>
      </c>
      <c r="B3" s="58"/>
      <c r="C3" s="40">
        <f t="shared" ref="C3:C12" si="2">C2+1</f>
        <v>2</v>
      </c>
      <c r="D3" s="41" t="s">
        <v>51</v>
      </c>
      <c r="E3" s="41" t="s">
        <v>52</v>
      </c>
      <c r="F3" s="42">
        <v>604</v>
      </c>
      <c r="G3" s="42">
        <v>604</v>
      </c>
      <c r="H3" s="43">
        <v>44294</v>
      </c>
      <c r="I3" s="44">
        <v>15</v>
      </c>
      <c r="J3" s="43">
        <f>Table1[[#This Row],[START]]+Table1[[#This Row],[DURATION]]</f>
        <v>44309</v>
      </c>
      <c r="K3" s="1" t="s">
        <v>24</v>
      </c>
      <c r="L3" s="42">
        <f>Table1[[#This Row],[PROGRESS]]-Table1[[#This Row],[TOTAL PAGES]]</f>
        <v>0</v>
      </c>
      <c r="M3" s="45" t="str">
        <f ca="1">IFERROR((Table1[[#This Row],[REST]]*(-1))/((DATEDIF($A$1,Table1[[#This Row],[TARGET FINISH]],"d"))),"-")</f>
        <v>-</v>
      </c>
      <c r="N3" s="45" t="str">
        <f t="shared" ref="N3:N16" ca="1" si="3">IFERROR(G3+M3,"-")</f>
        <v>-</v>
      </c>
      <c r="O3" s="45">
        <f>IFERROR(Table1[[#This Row],[TOTAL PAGES]]/(DATEDIF(H3,Table1[[#This Row],[TARGET FINISH]],"d")),"-")</f>
        <v>40.266666666666666</v>
      </c>
      <c r="P3" s="8">
        <f>G3/Table1[[#This Row],[TOTAL PAGES]]</f>
        <v>1</v>
      </c>
      <c r="Q3" s="26" t="str">
        <f t="shared" si="0"/>
        <v>FINISH</v>
      </c>
      <c r="R3" s="25" t="s">
        <v>53</v>
      </c>
      <c r="S3" s="46" t="str">
        <f t="shared" si="1"/>
        <v>-</v>
      </c>
    </row>
    <row r="4" spans="1:19" ht="14.45" customHeight="1">
      <c r="C4" s="40">
        <f t="shared" si="2"/>
        <v>3</v>
      </c>
      <c r="D4" s="41" t="s">
        <v>54</v>
      </c>
      <c r="E4" s="41" t="s">
        <v>55</v>
      </c>
      <c r="F4" s="42">
        <v>409</v>
      </c>
      <c r="G4" s="42">
        <v>409</v>
      </c>
      <c r="H4" s="43">
        <v>44299</v>
      </c>
      <c r="I4" s="44">
        <v>20</v>
      </c>
      <c r="J4" s="43">
        <f>Table1[[#This Row],[START]]+Table1[[#This Row],[DURATION]]</f>
        <v>44319</v>
      </c>
      <c r="K4" s="1" t="s">
        <v>23</v>
      </c>
      <c r="L4" s="42">
        <f>Table1[[#This Row],[PROGRESS]]-Table1[[#This Row],[TOTAL PAGES]]</f>
        <v>0</v>
      </c>
      <c r="M4" s="45" t="str">
        <f ca="1">IFERROR((Table1[[#This Row],[REST]]*(-1))/((DATEDIF($A$1,Table1[[#This Row],[TARGET FINISH]],"d"))),"-")</f>
        <v>-</v>
      </c>
      <c r="N4" s="45" t="str">
        <f t="shared" ca="1" si="3"/>
        <v>-</v>
      </c>
      <c r="O4" s="45">
        <f>IFERROR(Table1[[#This Row],[TOTAL PAGES]]/(DATEDIF(H4,Table1[[#This Row],[TARGET FINISH]],"d")),"-")</f>
        <v>20.45</v>
      </c>
      <c r="P4" s="8">
        <f>G4/Table1[[#This Row],[TOTAL PAGES]]</f>
        <v>1</v>
      </c>
      <c r="Q4" s="26" t="str">
        <f t="shared" si="0"/>
        <v>FINISH</v>
      </c>
      <c r="R4" s="25" t="s">
        <v>50</v>
      </c>
      <c r="S4" s="47" t="str">
        <f t="shared" si="1"/>
        <v>CLICK</v>
      </c>
    </row>
    <row r="5" spans="1:19" ht="14.45" customHeight="1">
      <c r="A5" s="14"/>
      <c r="B5" s="14"/>
      <c r="C5" s="40">
        <f t="shared" si="2"/>
        <v>4</v>
      </c>
      <c r="D5" s="41" t="s">
        <v>56</v>
      </c>
      <c r="E5" s="41" t="s">
        <v>57</v>
      </c>
      <c r="F5" s="42">
        <v>377</v>
      </c>
      <c r="G5" s="42">
        <v>377</v>
      </c>
      <c r="H5" s="43">
        <v>44317</v>
      </c>
      <c r="I5" s="44">
        <v>17</v>
      </c>
      <c r="J5" s="43">
        <f>Table1[[#This Row],[START]]+Table1[[#This Row],[DURATION]]</f>
        <v>44334</v>
      </c>
      <c r="K5" s="1" t="s">
        <v>22</v>
      </c>
      <c r="L5" s="42">
        <f>Table1[[#This Row],[PROGRESS]]-Table1[[#This Row],[TOTAL PAGES]]</f>
        <v>0</v>
      </c>
      <c r="M5" s="45" t="str">
        <f ca="1">IFERROR((Table1[[#This Row],[REST]]*(-1))/((DATEDIF($A$1,Table1[[#This Row],[TARGET FINISH]],"d"))),"-")</f>
        <v>-</v>
      </c>
      <c r="N5" s="45" t="str">
        <f t="shared" ca="1" si="3"/>
        <v>-</v>
      </c>
      <c r="O5" s="45">
        <f>IFERROR(Table1[[#This Row],[TOTAL PAGES]]/(DATEDIF(H5,Table1[[#This Row],[TARGET FINISH]],"d")),"-")</f>
        <v>22.176470588235293</v>
      </c>
      <c r="P5" s="8">
        <f>G5/Table1[[#This Row],[TOTAL PAGES]]</f>
        <v>1</v>
      </c>
      <c r="Q5" s="26" t="str">
        <f t="shared" si="0"/>
        <v>FINISH</v>
      </c>
      <c r="R5" s="25" t="s">
        <v>50</v>
      </c>
      <c r="S5" s="47" t="str">
        <f t="shared" si="1"/>
        <v>CLICK</v>
      </c>
    </row>
    <row r="6" spans="1:19" ht="14.45" customHeight="1">
      <c r="C6" s="40">
        <f t="shared" si="2"/>
        <v>5</v>
      </c>
      <c r="D6" s="41" t="s">
        <v>58</v>
      </c>
      <c r="E6" s="41" t="s">
        <v>59</v>
      </c>
      <c r="F6" s="42">
        <v>306</v>
      </c>
      <c r="G6" s="42">
        <v>306</v>
      </c>
      <c r="H6" s="43">
        <v>44455</v>
      </c>
      <c r="I6" s="44">
        <v>29</v>
      </c>
      <c r="J6" s="43">
        <f>Table1[[#This Row],[START]]+Table1[[#This Row],[DURATION]]</f>
        <v>44484</v>
      </c>
      <c r="K6" s="1" t="s">
        <v>22</v>
      </c>
      <c r="L6" s="42">
        <f>Table1[[#This Row],[PROGRESS]]-Table1[[#This Row],[TOTAL PAGES]]</f>
        <v>0</v>
      </c>
      <c r="M6" s="45" t="str">
        <f ca="1">IFERROR((Table1[[#This Row],[REST]]*(-1))/((DATEDIF($A$1,Table1[[#This Row],[TARGET FINISH]],"d"))),"-")</f>
        <v>-</v>
      </c>
      <c r="N6" s="45" t="str">
        <f t="shared" ca="1" si="3"/>
        <v>-</v>
      </c>
      <c r="O6" s="45">
        <f>IFERROR(Table1[[#This Row],[TOTAL PAGES]]/(DATEDIF(H6,Table1[[#This Row],[TARGET FINISH]],"d")),"-")</f>
        <v>10.551724137931034</v>
      </c>
      <c r="P6" s="8">
        <f>G6/Table1[[#This Row],[TOTAL PAGES]]</f>
        <v>1</v>
      </c>
      <c r="Q6" s="26" t="str">
        <f t="shared" si="0"/>
        <v>FINISH</v>
      </c>
      <c r="R6" s="25" t="s">
        <v>50</v>
      </c>
      <c r="S6" s="47" t="str">
        <f t="shared" si="1"/>
        <v>CLICK</v>
      </c>
    </row>
    <row r="7" spans="1:19" ht="14.45" customHeight="1">
      <c r="C7" s="40">
        <f t="shared" si="2"/>
        <v>6</v>
      </c>
      <c r="D7" s="41" t="s">
        <v>10</v>
      </c>
      <c r="E7" s="41" t="s">
        <v>60</v>
      </c>
      <c r="F7" s="42">
        <v>235</v>
      </c>
      <c r="G7" s="42">
        <v>235</v>
      </c>
      <c r="H7" s="43">
        <v>44489</v>
      </c>
      <c r="I7" s="44">
        <v>23</v>
      </c>
      <c r="J7" s="43">
        <f>Table1[[#This Row],[START]]+Table1[[#This Row],[DURATION]]</f>
        <v>44512</v>
      </c>
      <c r="K7" s="1" t="s">
        <v>22</v>
      </c>
      <c r="L7" s="42">
        <f>Table1[[#This Row],[PROGRESS]]-Table1[[#This Row],[TOTAL PAGES]]</f>
        <v>0</v>
      </c>
      <c r="M7" s="45" t="str">
        <f ca="1">IFERROR((Table1[[#This Row],[REST]]*(-1))/((DATEDIF($A$1,Table1[[#This Row],[TARGET FINISH]],"d"))),"-")</f>
        <v>-</v>
      </c>
      <c r="N7" s="45" t="str">
        <f t="shared" ca="1" si="3"/>
        <v>-</v>
      </c>
      <c r="O7" s="45">
        <f>IFERROR(Table1[[#This Row],[TOTAL PAGES]]/(DATEDIF(H7,Table1[[#This Row],[TARGET FINISH]],"d")),"-")</f>
        <v>10.217391304347826</v>
      </c>
      <c r="P7" s="8">
        <f>G7/Table1[[#This Row],[TOTAL PAGES]]</f>
        <v>1</v>
      </c>
      <c r="Q7" s="26" t="str">
        <f t="shared" si="0"/>
        <v>FINISH</v>
      </c>
      <c r="R7" s="25" t="s">
        <v>50</v>
      </c>
      <c r="S7" s="48" t="str">
        <f t="shared" si="1"/>
        <v>CLICK</v>
      </c>
    </row>
    <row r="8" spans="1:19" ht="14.45" customHeight="1">
      <c r="C8" s="40">
        <f t="shared" si="2"/>
        <v>7</v>
      </c>
      <c r="D8" s="41" t="s">
        <v>61</v>
      </c>
      <c r="E8" s="41" t="s">
        <v>62</v>
      </c>
      <c r="F8" s="42">
        <v>541</v>
      </c>
      <c r="G8" s="42">
        <v>541</v>
      </c>
      <c r="H8" s="43">
        <v>44563</v>
      </c>
      <c r="I8" s="44">
        <v>16</v>
      </c>
      <c r="J8" s="43">
        <f>Table1[[#This Row],[START]]+Table1[[#This Row],[DURATION]]</f>
        <v>44579</v>
      </c>
      <c r="K8" s="1" t="s">
        <v>24</v>
      </c>
      <c r="L8" s="42">
        <f>Table1[[#This Row],[PROGRESS]]-Table1[[#This Row],[TOTAL PAGES]]</f>
        <v>0</v>
      </c>
      <c r="M8" s="45" t="str">
        <f ca="1">IFERROR((Table1[[#This Row],[REST]]*(-1))/((DATEDIF($A$1,Table1[[#This Row],[TARGET FINISH]],"d"))),"-")</f>
        <v>-</v>
      </c>
      <c r="N8" s="45" t="str">
        <f t="shared" ca="1" si="3"/>
        <v>-</v>
      </c>
      <c r="O8" s="45">
        <f>IFERROR(Table1[[#This Row],[TOTAL PAGES]]/(DATEDIF(H8,Table1[[#This Row],[TARGET FINISH]],"d")),"-")</f>
        <v>33.8125</v>
      </c>
      <c r="P8" s="8">
        <f>G8/Table1[[#This Row],[TOTAL PAGES]]</f>
        <v>1</v>
      </c>
      <c r="Q8" s="26" t="str">
        <f t="shared" si="0"/>
        <v>FINISH</v>
      </c>
      <c r="R8" s="25" t="s">
        <v>50</v>
      </c>
      <c r="S8" s="47" t="str">
        <f t="shared" si="1"/>
        <v>CLICK</v>
      </c>
    </row>
    <row r="9" spans="1:19" ht="14.45" customHeight="1">
      <c r="A9" s="11"/>
      <c r="B9" s="11"/>
      <c r="C9" s="40">
        <f t="shared" si="2"/>
        <v>8</v>
      </c>
      <c r="D9" s="41" t="s">
        <v>12</v>
      </c>
      <c r="E9" s="41" t="s">
        <v>63</v>
      </c>
      <c r="F9" s="42">
        <v>847</v>
      </c>
      <c r="G9" s="42">
        <v>847</v>
      </c>
      <c r="H9" s="43">
        <v>44567</v>
      </c>
      <c r="I9" s="44">
        <v>26</v>
      </c>
      <c r="J9" s="43">
        <f>Table1[[#This Row],[START]]+Table1[[#This Row],[DURATION]]</f>
        <v>44593</v>
      </c>
      <c r="K9" s="1" t="s">
        <v>23</v>
      </c>
      <c r="L9" s="42">
        <f>Table1[[#This Row],[PROGRESS]]-Table1[[#This Row],[TOTAL PAGES]]</f>
        <v>0</v>
      </c>
      <c r="M9" s="45" t="str">
        <f ca="1">IFERROR((Table1[[#This Row],[REST]]*(-1))/((DATEDIF($A$1,Table1[[#This Row],[TARGET FINISH]],"d"))),"-")</f>
        <v>-</v>
      </c>
      <c r="N9" s="45" t="str">
        <f t="shared" ca="1" si="3"/>
        <v>-</v>
      </c>
      <c r="O9" s="45">
        <f>IFERROR(Table1[[#This Row],[TOTAL PAGES]]/(DATEDIF(H9,Table1[[#This Row],[TARGET FINISH]],"d")),"-")</f>
        <v>32.57692307692308</v>
      </c>
      <c r="P9" s="8">
        <f>G9/Table1[[#This Row],[TOTAL PAGES]]</f>
        <v>1</v>
      </c>
      <c r="Q9" s="26" t="str">
        <f t="shared" si="0"/>
        <v>FINISH</v>
      </c>
      <c r="R9" s="25" t="s">
        <v>50</v>
      </c>
      <c r="S9" s="48" t="str">
        <f t="shared" si="1"/>
        <v>CLICK</v>
      </c>
    </row>
    <row r="10" spans="1:19" ht="14.45" customHeight="1">
      <c r="A10" s="12" t="s">
        <v>11</v>
      </c>
      <c r="B10" s="11"/>
      <c r="C10" s="40">
        <f t="shared" si="2"/>
        <v>9</v>
      </c>
      <c r="D10" s="41" t="s">
        <v>64</v>
      </c>
      <c r="E10" s="41" t="s">
        <v>65</v>
      </c>
      <c r="F10" s="42">
        <v>284</v>
      </c>
      <c r="G10" s="42">
        <v>284</v>
      </c>
      <c r="H10" s="43">
        <v>44574</v>
      </c>
      <c r="I10" s="44">
        <v>22</v>
      </c>
      <c r="J10" s="43">
        <f>Table1[[#This Row],[START]]+Table1[[#This Row],[DURATION]]</f>
        <v>44596</v>
      </c>
      <c r="K10" s="1" t="s">
        <v>22</v>
      </c>
      <c r="L10" s="42">
        <f>Table1[[#This Row],[PROGRESS]]-Table1[[#This Row],[TOTAL PAGES]]</f>
        <v>0</v>
      </c>
      <c r="M10" s="45" t="str">
        <f ca="1">IFERROR((Table1[[#This Row],[REST]]*(-1))/((DATEDIF($A$1,Table1[[#This Row],[TARGET FINISH]],"d"))),"-")</f>
        <v>-</v>
      </c>
      <c r="N10" s="45" t="str">
        <f t="shared" ca="1" si="3"/>
        <v>-</v>
      </c>
      <c r="O10" s="45">
        <f>IFERROR(Table1[[#This Row],[TOTAL PAGES]]/(DATEDIF(H10,Table1[[#This Row],[TARGET FINISH]],"d")),"-")</f>
        <v>12.909090909090908</v>
      </c>
      <c r="P10" s="8">
        <f>G10/Table1[[#This Row],[TOTAL PAGES]]</f>
        <v>1</v>
      </c>
      <c r="Q10" s="26" t="str">
        <f t="shared" si="0"/>
        <v>FINISH</v>
      </c>
      <c r="R10" s="25" t="s">
        <v>50</v>
      </c>
      <c r="S10" s="47" t="str">
        <f t="shared" si="1"/>
        <v>CLICK</v>
      </c>
    </row>
    <row r="11" spans="1:19" ht="14.45" customHeight="1">
      <c r="A11" s="13"/>
      <c r="C11" s="40">
        <f t="shared" si="2"/>
        <v>10</v>
      </c>
      <c r="D11" s="41" t="s">
        <v>66</v>
      </c>
      <c r="E11" s="41" t="s">
        <v>67</v>
      </c>
      <c r="F11" s="42">
        <v>186</v>
      </c>
      <c r="G11" s="42">
        <v>186</v>
      </c>
      <c r="H11" s="43">
        <v>44594</v>
      </c>
      <c r="I11" s="44">
        <v>26</v>
      </c>
      <c r="J11" s="43">
        <f>Table1[[#This Row],[START]]+Table1[[#This Row],[DURATION]]</f>
        <v>44620</v>
      </c>
      <c r="K11" s="7" t="s">
        <v>24</v>
      </c>
      <c r="L11" s="42">
        <f>Table1[[#This Row],[PROGRESS]]-Table1[[#This Row],[TOTAL PAGES]]</f>
        <v>0</v>
      </c>
      <c r="M11" s="45" t="str">
        <f ca="1">IFERROR((Table1[[#This Row],[REST]]*(-1))/((DATEDIF($A$1,Table1[[#This Row],[TARGET FINISH]],"d"))),"-")</f>
        <v>-</v>
      </c>
      <c r="N11" s="45" t="str">
        <f t="shared" ca="1" si="3"/>
        <v>-</v>
      </c>
      <c r="O11" s="45">
        <f>IFERROR(Table1[[#This Row],[TOTAL PAGES]]/(DATEDIF(H11,Table1[[#This Row],[TARGET FINISH]],"d")),"-")</f>
        <v>7.1538461538461542</v>
      </c>
      <c r="P11" s="8">
        <f>G11/Table1[[#This Row],[TOTAL PAGES]]</f>
        <v>1</v>
      </c>
      <c r="Q11" s="26" t="str">
        <f t="shared" si="0"/>
        <v>FINISH</v>
      </c>
      <c r="R11" s="25" t="s">
        <v>50</v>
      </c>
      <c r="S11" s="47" t="str">
        <f t="shared" si="1"/>
        <v>CLICK</v>
      </c>
    </row>
    <row r="12" spans="1:19" ht="14.45" customHeight="1">
      <c r="C12" s="40">
        <f t="shared" si="2"/>
        <v>11</v>
      </c>
      <c r="D12" s="41" t="s">
        <v>68</v>
      </c>
      <c r="E12" s="41" t="s">
        <v>69</v>
      </c>
      <c r="F12" s="42">
        <v>88</v>
      </c>
      <c r="G12" s="42">
        <v>88</v>
      </c>
      <c r="H12" s="43">
        <v>44659</v>
      </c>
      <c r="I12" s="44">
        <v>21</v>
      </c>
      <c r="J12" s="43">
        <f>Table1[[#This Row],[START]]+Table1[[#This Row],[DURATION]]</f>
        <v>44680</v>
      </c>
      <c r="K12" s="1" t="s">
        <v>23</v>
      </c>
      <c r="L12" s="42">
        <f>Table1[[#This Row],[PROGRESS]]-Table1[[#This Row],[TOTAL PAGES]]</f>
        <v>0</v>
      </c>
      <c r="M12" s="45" t="str">
        <f ca="1">IFERROR((Table1[[#This Row],[REST]]*(-1))/((DATEDIF($A$1,Table1[[#This Row],[TARGET FINISH]],"d"))),"-")</f>
        <v>-</v>
      </c>
      <c r="N12" s="45" t="str">
        <f t="shared" ca="1" si="3"/>
        <v>-</v>
      </c>
      <c r="O12" s="45">
        <f>IFERROR(Table1[[#This Row],[TOTAL PAGES]]/(DATEDIF(H12,Table1[[#This Row],[TARGET FINISH]],"d")),"-")</f>
        <v>4.1904761904761907</v>
      </c>
      <c r="P12" s="8">
        <f>G12/Table1[[#This Row],[TOTAL PAGES]]</f>
        <v>1</v>
      </c>
      <c r="Q12" s="26" t="str">
        <f t="shared" si="0"/>
        <v>FINISH</v>
      </c>
      <c r="R12" s="25" t="s">
        <v>50</v>
      </c>
      <c r="S12" s="48" t="str">
        <f t="shared" si="1"/>
        <v>CLICK</v>
      </c>
    </row>
    <row r="13" spans="1:19" ht="14.45" customHeight="1">
      <c r="C13" s="40">
        <f t="shared" ref="C13:C14" si="4">C12+1</f>
        <v>12</v>
      </c>
      <c r="D13" s="41" t="s">
        <v>70</v>
      </c>
      <c r="E13" s="41" t="s">
        <v>71</v>
      </c>
      <c r="F13" s="42">
        <v>89</v>
      </c>
      <c r="G13" s="42">
        <v>89</v>
      </c>
      <c r="H13" s="43">
        <v>44899</v>
      </c>
      <c r="I13" s="44">
        <v>2</v>
      </c>
      <c r="J13" s="43">
        <f>Table1[[#This Row],[START]]+Table1[[#This Row],[DURATION]]</f>
        <v>44901</v>
      </c>
      <c r="K13" s="1" t="s">
        <v>22</v>
      </c>
      <c r="L13" s="42">
        <f>Table1[[#This Row],[PROGRESS]]-Table1[[#This Row],[TOTAL PAGES]]</f>
        <v>0</v>
      </c>
      <c r="M13" s="45" t="str">
        <f ca="1">IFERROR((Table1[[#This Row],[REST]]*(-1))/((DATEDIF($A$1,Table1[[#This Row],[TARGET FINISH]],"d"))),"-")</f>
        <v>-</v>
      </c>
      <c r="N13" s="45" t="str">
        <f t="shared" ca="1" si="3"/>
        <v>-</v>
      </c>
      <c r="O13" s="45">
        <f>IFERROR(Table1[[#This Row],[TOTAL PAGES]]/(DATEDIF(H13,Table1[[#This Row],[TARGET FINISH]],"d")),"-")</f>
        <v>44.5</v>
      </c>
      <c r="P13" s="8">
        <f>G13/Table1[[#This Row],[TOTAL PAGES]]</f>
        <v>1</v>
      </c>
      <c r="Q13" s="26" t="str">
        <f t="shared" ref="Q13:Q15" si="5">_xlfn.IFS(P13=100%, "FINISH",P13=0%,"NOT YET",P13&lt;100%,"ON GOING")</f>
        <v>FINISH</v>
      </c>
      <c r="R13" s="25" t="s">
        <v>50</v>
      </c>
      <c r="S13" s="48" t="str">
        <f t="shared" ref="S13:S15" si="6">IF(R13="EBOOK", "CLICK", "-")</f>
        <v>CLICK</v>
      </c>
    </row>
    <row r="14" spans="1:19" ht="14.45" customHeight="1">
      <c r="C14" s="40">
        <f t="shared" si="4"/>
        <v>13</v>
      </c>
      <c r="D14" s="41" t="s">
        <v>10</v>
      </c>
      <c r="E14" s="41" t="s">
        <v>60</v>
      </c>
      <c r="F14" s="42">
        <v>90</v>
      </c>
      <c r="G14" s="42">
        <v>36</v>
      </c>
      <c r="H14" s="43">
        <v>44905</v>
      </c>
      <c r="I14" s="44">
        <v>4</v>
      </c>
      <c r="J14" s="43">
        <f>Table1[[#This Row],[START]]+Table1[[#This Row],[DURATION]]</f>
        <v>44909</v>
      </c>
      <c r="K14" s="1" t="s">
        <v>22</v>
      </c>
      <c r="L14" s="42">
        <f>Table1[[#This Row],[PROGRESS]]-Table1[[#This Row],[TOTAL PAGES]]</f>
        <v>-54</v>
      </c>
      <c r="M14" s="45" t="str">
        <f ca="1">IFERROR((Table1[[#This Row],[REST]]*(-1))/((DATEDIF($A$1,Table1[[#This Row],[TARGET FINISH]],"d"))),"-")</f>
        <v>-</v>
      </c>
      <c r="N14" s="45" t="str">
        <f t="shared" ca="1" si="3"/>
        <v>-</v>
      </c>
      <c r="O14" s="45">
        <f>IFERROR(Table1[[#This Row],[TOTAL PAGES]]/(DATEDIF(H14,Table1[[#This Row],[TARGET FINISH]],"d")),"-")</f>
        <v>22.5</v>
      </c>
      <c r="P14" s="8">
        <f>G14/Table1[[#This Row],[TOTAL PAGES]]</f>
        <v>0.4</v>
      </c>
      <c r="Q14" s="26" t="str">
        <f t="shared" si="5"/>
        <v>ON GOING</v>
      </c>
      <c r="R14" s="25" t="s">
        <v>50</v>
      </c>
      <c r="S14" s="48" t="str">
        <f t="shared" si="6"/>
        <v>CLICK</v>
      </c>
    </row>
    <row r="15" spans="1:19" ht="14.45" customHeight="1">
      <c r="C15" s="40">
        <f>C14+1</f>
        <v>14</v>
      </c>
      <c r="D15" s="41" t="s">
        <v>12</v>
      </c>
      <c r="E15" s="41" t="s">
        <v>63</v>
      </c>
      <c r="F15" s="42">
        <v>91</v>
      </c>
      <c r="G15" s="42">
        <v>26</v>
      </c>
      <c r="H15" s="43">
        <v>44899</v>
      </c>
      <c r="I15" s="44">
        <v>5</v>
      </c>
      <c r="J15" s="43">
        <f>Table1[[#This Row],[START]]+Table1[[#This Row],[DURATION]]</f>
        <v>44904</v>
      </c>
      <c r="K15" s="1" t="s">
        <v>24</v>
      </c>
      <c r="L15" s="42">
        <f>Table1[[#This Row],[PROGRESS]]-Table1[[#This Row],[TOTAL PAGES]]</f>
        <v>-65</v>
      </c>
      <c r="M15" s="45" t="str">
        <f ca="1">IFERROR((Table1[[#This Row],[REST]]*(-1))/((DATEDIF($A$1,Table1[[#This Row],[TARGET FINISH]],"d"))),"-")</f>
        <v>-</v>
      </c>
      <c r="N15" s="45" t="str">
        <f t="shared" ca="1" si="3"/>
        <v>-</v>
      </c>
      <c r="O15" s="45">
        <f>IFERROR(Table1[[#This Row],[TOTAL PAGES]]/(DATEDIF(H15,Table1[[#This Row],[TARGET FINISH]],"d")),"-")</f>
        <v>18.2</v>
      </c>
      <c r="P15" s="8">
        <f>G15/Table1[[#This Row],[TOTAL PAGES]]</f>
        <v>0.2857142857142857</v>
      </c>
      <c r="Q15" s="26" t="str">
        <f t="shared" si="5"/>
        <v>ON GOING</v>
      </c>
      <c r="R15" s="25" t="s">
        <v>53</v>
      </c>
      <c r="S15" s="48" t="str">
        <f t="shared" si="6"/>
        <v>-</v>
      </c>
    </row>
    <row r="16" spans="1:19" ht="14.45" customHeight="1">
      <c r="C16" s="40">
        <f>C15+1</f>
        <v>15</v>
      </c>
      <c r="D16" s="6" t="s">
        <v>13</v>
      </c>
      <c r="E16" s="6" t="s">
        <v>72</v>
      </c>
      <c r="F16" s="4">
        <v>400</v>
      </c>
      <c r="G16" s="4">
        <v>32</v>
      </c>
      <c r="H16" s="43">
        <v>44901</v>
      </c>
      <c r="I16" s="33">
        <v>21</v>
      </c>
      <c r="J16" s="43">
        <f>Table1[[#This Row],[START]]+Table1[[#This Row],[DURATION]]</f>
        <v>44922</v>
      </c>
      <c r="K16" s="1" t="s">
        <v>22</v>
      </c>
      <c r="L16" s="42">
        <f>Table1[[#This Row],[PROGRESS]]-Table1[[#This Row],[TOTAL PAGES]]</f>
        <v>-368</v>
      </c>
      <c r="M16" s="45">
        <f ca="1">IFERROR((Table1[[#This Row],[REST]]*(-1))/((DATEDIF($A$1,Table1[[#This Row],[TARGET FINISH]],"d"))),"-")</f>
        <v>28.307692307692307</v>
      </c>
      <c r="N16" s="45">
        <f t="shared" ca="1" si="3"/>
        <v>60.307692307692307</v>
      </c>
      <c r="O16" s="45">
        <f>IFERROR(Table1[[#This Row],[TOTAL PAGES]]/(DATEDIF(H16,Table1[[#This Row],[TARGET FINISH]],"d")),"-")</f>
        <v>19.047619047619047</v>
      </c>
      <c r="P16" s="8">
        <f>G16/Table1[[#This Row],[TOTAL PAGES]]</f>
        <v>0.08</v>
      </c>
      <c r="Q16" s="26" t="str">
        <f t="shared" ref="Q16" si="7">_xlfn.IFS(P16=100%, "FINISH",P16=0%,"NOT YET",P16&lt;100%,"ON GOING")</f>
        <v>ON GOING</v>
      </c>
      <c r="R16" s="25" t="s">
        <v>50</v>
      </c>
      <c r="S16" s="48" t="str">
        <f t="shared" ref="S16" si="8">IF(R16="EBOOK", "CLICK", "-")</f>
        <v>CLICK</v>
      </c>
    </row>
    <row r="17" spans="3:19" ht="14.45" customHeight="1">
      <c r="C17" s="40">
        <f>C16+1</f>
        <v>16</v>
      </c>
      <c r="D17" s="6" t="s">
        <v>14</v>
      </c>
      <c r="E17" s="6" t="s">
        <v>73</v>
      </c>
      <c r="F17" s="4">
        <v>300</v>
      </c>
      <c r="G17" s="4">
        <v>8</v>
      </c>
      <c r="H17" s="43">
        <v>44908</v>
      </c>
      <c r="I17" s="33">
        <v>30</v>
      </c>
      <c r="J17" s="43">
        <f>Table1[[#This Row],[START]]+Table1[[#This Row],[DURATION]]</f>
        <v>44938</v>
      </c>
      <c r="K17" s="1" t="s">
        <v>22</v>
      </c>
      <c r="L17" s="42">
        <f>Table1[[#This Row],[PROGRESS]]-Table1[[#This Row],[TOTAL PAGES]]</f>
        <v>-292</v>
      </c>
      <c r="M17" s="45">
        <f ca="1">IFERROR((Table1[[#This Row],[REST]]*(-1))/((DATEDIF($A$1,Table1[[#This Row],[TARGET FINISH]],"d"))),"-")</f>
        <v>10.068965517241379</v>
      </c>
      <c r="N17" s="45">
        <f t="shared" ref="N17" ca="1" si="9">IFERROR(G17+M17,"-")</f>
        <v>18.068965517241381</v>
      </c>
      <c r="O17" s="45">
        <f>IFERROR(Table1[[#This Row],[TOTAL PAGES]]/(DATEDIF(H17,Table1[[#This Row],[TARGET FINISH]],"d")),"-")</f>
        <v>10</v>
      </c>
      <c r="P17" s="8">
        <f>G17/Table1[[#This Row],[TOTAL PAGES]]</f>
        <v>2.6666666666666668E-2</v>
      </c>
      <c r="Q17" s="26" t="str">
        <f t="shared" ref="Q17" si="10">_xlfn.IFS(P17=100%, "FINISH",P17=0%,"NOT YET",P17&lt;100%,"ON GOING")</f>
        <v>ON GOING</v>
      </c>
      <c r="R17" s="25" t="s">
        <v>50</v>
      </c>
      <c r="S17" s="48" t="str">
        <f t="shared" ref="S17" si="11">IF(R17="EBOOK", "CLICK", "-")</f>
        <v>CLICK</v>
      </c>
    </row>
    <row r="18" spans="3:19" ht="14.45" customHeight="1"/>
    <row r="19" spans="3:19" ht="14.45" customHeight="1"/>
    <row r="20" spans="3:19" ht="14.45" customHeight="1"/>
    <row r="21" spans="3:19" ht="14.45" customHeight="1"/>
    <row r="23" spans="3:19">
      <c r="C23" s="30"/>
      <c r="S23" s="31"/>
    </row>
    <row r="24" spans="3:19">
      <c r="C24" s="30"/>
      <c r="S24" s="31"/>
    </row>
    <row r="25" spans="3:19">
      <c r="C25" s="30"/>
      <c r="S25" s="31"/>
    </row>
    <row r="26" spans="3:19">
      <c r="C26" s="30"/>
      <c r="S26" s="31"/>
    </row>
    <row r="27" spans="3:19">
      <c r="C27" s="30"/>
      <c r="S27" s="31"/>
    </row>
    <row r="28" spans="3:19">
      <c r="C28" s="30"/>
      <c r="S28" s="31"/>
    </row>
    <row r="29" spans="3:19">
      <c r="C29" s="30"/>
      <c r="S29" s="31"/>
    </row>
    <row r="30" spans="3:19">
      <c r="C30" s="30"/>
      <c r="S30" s="31"/>
    </row>
    <row r="31" spans="3:19">
      <c r="C31" s="30"/>
      <c r="S31" s="31"/>
    </row>
    <row r="32" spans="3:19">
      <c r="C32" s="30"/>
      <c r="S32" s="31"/>
    </row>
    <row r="33" spans="3:19">
      <c r="C33" s="30"/>
      <c r="S33" s="31"/>
    </row>
    <row r="34" spans="3:19">
      <c r="C34" s="30"/>
      <c r="S34" s="31"/>
    </row>
    <row r="35" spans="3:19">
      <c r="C35" s="30"/>
      <c r="S35" s="31"/>
    </row>
    <row r="36" spans="3:19">
      <c r="C36" s="30"/>
      <c r="S36" s="31"/>
    </row>
    <row r="37" spans="3:19">
      <c r="C37" s="30"/>
      <c r="S37" s="31"/>
    </row>
    <row r="38" spans="3:19">
      <c r="C38" s="30"/>
      <c r="S38" s="31"/>
    </row>
    <row r="39" spans="3:19">
      <c r="C39" s="30"/>
      <c r="S39" s="31"/>
    </row>
    <row r="40" spans="3:19">
      <c r="C40" s="30"/>
      <c r="S40" s="31"/>
    </row>
    <row r="41" spans="3:19">
      <c r="C41" s="30"/>
      <c r="S41" s="31"/>
    </row>
    <row r="42" spans="3:19">
      <c r="C42" s="30"/>
      <c r="S42" s="31"/>
    </row>
    <row r="43" spans="3:19">
      <c r="C43" s="30"/>
      <c r="S43" s="31"/>
    </row>
    <row r="44" spans="3:19">
      <c r="C44" s="30"/>
      <c r="S44" s="31"/>
    </row>
    <row r="45" spans="3:19">
      <c r="C45" s="30"/>
      <c r="S45" s="31"/>
    </row>
    <row r="46" spans="3:19">
      <c r="C46" s="30"/>
      <c r="S46" s="31"/>
    </row>
    <row r="47" spans="3:19">
      <c r="C47" s="30"/>
      <c r="S47" s="31"/>
    </row>
    <row r="48" spans="3:19">
      <c r="C48" s="30"/>
      <c r="S48" s="31"/>
    </row>
    <row r="49" spans="3:19">
      <c r="C49" s="30"/>
      <c r="S49" s="31"/>
    </row>
    <row r="50" spans="3:19">
      <c r="C50" s="30"/>
      <c r="S50" s="31"/>
    </row>
    <row r="51" spans="3:19">
      <c r="C51" s="30"/>
      <c r="S51" s="31"/>
    </row>
    <row r="52" spans="3:19">
      <c r="C52" s="30"/>
      <c r="S52" s="31"/>
    </row>
    <row r="53" spans="3:19">
      <c r="C53" s="30"/>
      <c r="S53" s="31"/>
    </row>
    <row r="54" spans="3:19">
      <c r="C54" s="30"/>
      <c r="S54" s="31"/>
    </row>
    <row r="55" spans="3:19">
      <c r="C55" s="30"/>
      <c r="S55" s="31"/>
    </row>
    <row r="56" spans="3:19">
      <c r="C56" s="30"/>
      <c r="S56" s="31"/>
    </row>
    <row r="57" spans="3:19">
      <c r="C57" s="30"/>
      <c r="S57" s="31"/>
    </row>
    <row r="58" spans="3:19">
      <c r="C58" s="30"/>
      <c r="S58" s="31"/>
    </row>
    <row r="59" spans="3:19">
      <c r="C59" s="30"/>
      <c r="S59" s="31"/>
    </row>
    <row r="60" spans="3:19">
      <c r="C60" s="30"/>
      <c r="S60" s="31"/>
    </row>
    <row r="61" spans="3:19">
      <c r="C61" s="30"/>
      <c r="S61" s="31"/>
    </row>
    <row r="62" spans="3:19">
      <c r="C62" s="30"/>
      <c r="S62" s="31"/>
    </row>
    <row r="63" spans="3:19">
      <c r="C63" s="30"/>
      <c r="S63" s="31"/>
    </row>
    <row r="64" spans="3:19">
      <c r="C64" s="30"/>
      <c r="S64" s="31"/>
    </row>
    <row r="65" spans="3:19">
      <c r="C65" s="30"/>
      <c r="S65" s="31"/>
    </row>
    <row r="66" spans="3:19">
      <c r="C66" s="30"/>
      <c r="S66" s="31"/>
    </row>
    <row r="67" spans="3:19">
      <c r="C67" s="30"/>
      <c r="S67" s="31"/>
    </row>
    <row r="68" spans="3:19">
      <c r="C68" s="30"/>
      <c r="S68" s="31"/>
    </row>
    <row r="69" spans="3:19">
      <c r="C69" s="30"/>
      <c r="S69" s="31"/>
    </row>
    <row r="70" spans="3:19">
      <c r="C70" s="30"/>
      <c r="S70" s="31"/>
    </row>
    <row r="71" spans="3:19">
      <c r="C71" s="30"/>
      <c r="S71" s="31"/>
    </row>
    <row r="72" spans="3:19">
      <c r="C72" s="30"/>
      <c r="S72" s="31"/>
    </row>
    <row r="73" spans="3:19">
      <c r="C73" s="30"/>
      <c r="S73" s="31"/>
    </row>
    <row r="74" spans="3:19">
      <c r="C74" s="30"/>
      <c r="S74" s="31"/>
    </row>
    <row r="75" spans="3:19">
      <c r="C75" s="30"/>
      <c r="S75" s="31"/>
    </row>
    <row r="76" spans="3:19">
      <c r="C76" s="30"/>
      <c r="S76" s="31"/>
    </row>
    <row r="77" spans="3:19">
      <c r="C77" s="30"/>
      <c r="S77" s="31"/>
    </row>
    <row r="78" spans="3:19">
      <c r="C78" s="30"/>
      <c r="S78" s="31"/>
    </row>
    <row r="79" spans="3:19">
      <c r="C79" s="30"/>
      <c r="S79" s="31"/>
    </row>
    <row r="80" spans="3:19">
      <c r="C80" s="30"/>
      <c r="S80" s="31"/>
    </row>
    <row r="81" spans="3:19">
      <c r="C81" s="30"/>
      <c r="S81" s="31"/>
    </row>
    <row r="82" spans="3:19">
      <c r="C82" s="30"/>
      <c r="S82" s="31"/>
    </row>
    <row r="83" spans="3:19">
      <c r="C83" s="30"/>
      <c r="S83" s="31"/>
    </row>
    <row r="84" spans="3:19">
      <c r="C84" s="30"/>
      <c r="S84" s="31"/>
    </row>
    <row r="85" spans="3:19">
      <c r="C85" s="30"/>
      <c r="S85" s="31"/>
    </row>
    <row r="86" spans="3:19">
      <c r="C86" s="30"/>
      <c r="S86" s="31"/>
    </row>
    <row r="87" spans="3:19">
      <c r="C87" s="30"/>
      <c r="S87" s="31"/>
    </row>
    <row r="88" spans="3:19">
      <c r="C88" s="30"/>
      <c r="S88" s="31"/>
    </row>
    <row r="89" spans="3:19">
      <c r="C89" s="30"/>
      <c r="S89" s="31"/>
    </row>
    <row r="90" spans="3:19">
      <c r="C90" s="30"/>
      <c r="S90" s="31"/>
    </row>
    <row r="91" spans="3:19">
      <c r="C91" s="30"/>
      <c r="S91" s="31"/>
    </row>
    <row r="92" spans="3:19">
      <c r="C92" s="30"/>
      <c r="S92" s="31"/>
    </row>
    <row r="93" spans="3:19">
      <c r="C93" s="30"/>
      <c r="S93" s="31"/>
    </row>
    <row r="94" spans="3:19">
      <c r="C94" s="30"/>
      <c r="S94" s="31"/>
    </row>
    <row r="95" spans="3:19">
      <c r="C95" s="30"/>
      <c r="S95" s="31"/>
    </row>
    <row r="96" spans="3:19">
      <c r="C96" s="30"/>
      <c r="S96" s="31"/>
    </row>
    <row r="97" spans="3:19">
      <c r="C97" s="30"/>
      <c r="S97" s="31"/>
    </row>
    <row r="98" spans="3:19">
      <c r="C98" s="30"/>
      <c r="S98" s="31"/>
    </row>
    <row r="99" spans="3:19">
      <c r="C99" s="30"/>
      <c r="S99" s="31"/>
    </row>
    <row r="100" spans="3:19">
      <c r="C100" s="30"/>
      <c r="S100" s="31"/>
    </row>
    <row r="101" spans="3:19">
      <c r="C101" s="30"/>
      <c r="S101" s="31"/>
    </row>
    <row r="102" spans="3:19">
      <c r="C102" s="30"/>
      <c r="S102" s="31"/>
    </row>
    <row r="103" spans="3:19">
      <c r="C103" s="30"/>
      <c r="S103" s="31"/>
    </row>
    <row r="104" spans="3:19">
      <c r="C104" s="30"/>
      <c r="S104" s="31"/>
    </row>
    <row r="105" spans="3:19">
      <c r="C105" s="30"/>
      <c r="S105" s="31"/>
    </row>
    <row r="106" spans="3:19">
      <c r="C106" s="30"/>
      <c r="S106" s="31"/>
    </row>
    <row r="107" spans="3:19">
      <c r="C107" s="30"/>
      <c r="S107" s="31"/>
    </row>
    <row r="108" spans="3:19">
      <c r="C108" s="30"/>
      <c r="S108" s="31"/>
    </row>
    <row r="109" spans="3:19">
      <c r="C109" s="30"/>
      <c r="S109" s="31"/>
    </row>
    <row r="110" spans="3:19">
      <c r="C110" s="30"/>
      <c r="S110" s="31"/>
    </row>
    <row r="111" spans="3:19">
      <c r="C111" s="30"/>
      <c r="S111" s="31"/>
    </row>
    <row r="112" spans="3:19">
      <c r="C112" s="30"/>
      <c r="S112" s="31"/>
    </row>
    <row r="113" spans="3:19">
      <c r="C113" s="30"/>
      <c r="S113" s="31"/>
    </row>
    <row r="114" spans="3:19">
      <c r="C114" s="30"/>
      <c r="S114" s="31"/>
    </row>
    <row r="115" spans="3:19">
      <c r="C115" s="30"/>
      <c r="S115" s="31"/>
    </row>
    <row r="116" spans="3:19">
      <c r="C116" s="30"/>
      <c r="S116" s="31"/>
    </row>
    <row r="117" spans="3:19">
      <c r="C117" s="30"/>
      <c r="S117" s="31"/>
    </row>
    <row r="118" spans="3:19">
      <c r="C118" s="30"/>
      <c r="S118" s="31"/>
    </row>
    <row r="119" spans="3:19">
      <c r="C119" s="30"/>
      <c r="S119" s="31"/>
    </row>
    <row r="120" spans="3:19">
      <c r="C120" s="30"/>
      <c r="S120" s="31"/>
    </row>
    <row r="121" spans="3:19">
      <c r="C121" s="30"/>
      <c r="S121" s="31"/>
    </row>
    <row r="122" spans="3:19">
      <c r="C122" s="30"/>
      <c r="S122" s="31"/>
    </row>
    <row r="123" spans="3:19">
      <c r="C123" s="30"/>
      <c r="S123" s="31"/>
    </row>
    <row r="124" spans="3:19">
      <c r="C124" s="30"/>
      <c r="S124" s="31"/>
    </row>
    <row r="125" spans="3:19">
      <c r="C125" s="30"/>
      <c r="S125" s="31"/>
    </row>
    <row r="126" spans="3:19">
      <c r="C126" s="30"/>
      <c r="S126" s="31"/>
    </row>
    <row r="127" spans="3:19">
      <c r="C127" s="30"/>
      <c r="S127" s="31"/>
    </row>
    <row r="128" spans="3:19">
      <c r="C128" s="30"/>
      <c r="S128" s="31"/>
    </row>
    <row r="129" spans="3:19">
      <c r="C129" s="30"/>
      <c r="S129" s="31"/>
    </row>
    <row r="130" spans="3:19">
      <c r="C130" s="30"/>
      <c r="S130" s="31"/>
    </row>
    <row r="131" spans="3:19">
      <c r="C131" s="30"/>
      <c r="S131" s="31"/>
    </row>
    <row r="132" spans="3:19">
      <c r="C132" s="30"/>
      <c r="S132" s="31"/>
    </row>
    <row r="133" spans="3:19">
      <c r="C133" s="30"/>
      <c r="S133" s="31"/>
    </row>
    <row r="134" spans="3:19">
      <c r="C134" s="30"/>
      <c r="S134" s="31"/>
    </row>
    <row r="135" spans="3:19">
      <c r="C135" s="30"/>
      <c r="S135" s="31"/>
    </row>
    <row r="136" spans="3:19">
      <c r="C136" s="30"/>
      <c r="S136" s="31"/>
    </row>
    <row r="137" spans="3:19">
      <c r="C137" s="30"/>
      <c r="S137" s="31"/>
    </row>
    <row r="138" spans="3:19">
      <c r="C138" s="30"/>
      <c r="S138" s="31"/>
    </row>
    <row r="139" spans="3:19">
      <c r="C139" s="30"/>
      <c r="S139" s="31"/>
    </row>
    <row r="140" spans="3:19">
      <c r="C140" s="30"/>
      <c r="S140" s="31"/>
    </row>
    <row r="141" spans="3:19">
      <c r="C141" s="30"/>
      <c r="S141" s="31"/>
    </row>
    <row r="142" spans="3:19">
      <c r="C142" s="30"/>
      <c r="S142" s="31"/>
    </row>
    <row r="143" spans="3:19">
      <c r="C143" s="30"/>
      <c r="S143" s="31"/>
    </row>
    <row r="144" spans="3:19">
      <c r="C144" s="30"/>
      <c r="S144" s="31"/>
    </row>
    <row r="145" spans="3:19">
      <c r="C145" s="30"/>
      <c r="S145" s="31"/>
    </row>
    <row r="146" spans="3:19">
      <c r="C146" s="30"/>
      <c r="S146" s="31"/>
    </row>
    <row r="147" spans="3:19">
      <c r="C147" s="30"/>
      <c r="S147" s="31"/>
    </row>
    <row r="148" spans="3:19">
      <c r="C148" s="30"/>
      <c r="S148" s="31"/>
    </row>
    <row r="149" spans="3:19">
      <c r="C149" s="30"/>
      <c r="S149" s="31"/>
    </row>
    <row r="150" spans="3:19">
      <c r="C150" s="30"/>
      <c r="S150" s="31"/>
    </row>
    <row r="151" spans="3:19">
      <c r="C151" s="30"/>
      <c r="S151" s="31"/>
    </row>
    <row r="152" spans="3:19">
      <c r="C152" s="30"/>
      <c r="S152" s="31"/>
    </row>
    <row r="153" spans="3:19">
      <c r="C153" s="30"/>
      <c r="S153" s="31"/>
    </row>
    <row r="154" spans="3:19">
      <c r="C154" s="30"/>
      <c r="S154" s="31"/>
    </row>
    <row r="155" spans="3:19">
      <c r="C155" s="30"/>
      <c r="S155" s="31"/>
    </row>
    <row r="156" spans="3:19">
      <c r="C156" s="30"/>
      <c r="S156" s="31"/>
    </row>
    <row r="157" spans="3:19">
      <c r="C157" s="30"/>
      <c r="S157" s="31"/>
    </row>
    <row r="158" spans="3:19">
      <c r="C158" s="30"/>
      <c r="S158" s="31"/>
    </row>
    <row r="159" spans="3:19">
      <c r="C159" s="30"/>
      <c r="S159" s="31"/>
    </row>
    <row r="160" spans="3:19">
      <c r="C160" s="30"/>
      <c r="S160" s="31"/>
    </row>
    <row r="161" spans="3:19">
      <c r="C161" s="30"/>
      <c r="S161" s="31"/>
    </row>
    <row r="162" spans="3:19">
      <c r="C162" s="30"/>
      <c r="S162" s="31"/>
    </row>
    <row r="163" spans="3:19">
      <c r="C163" s="30"/>
      <c r="S163" s="31"/>
    </row>
    <row r="164" spans="3:19">
      <c r="C164" s="30"/>
      <c r="S164" s="31"/>
    </row>
    <row r="165" spans="3:19">
      <c r="C165" s="30"/>
      <c r="S165" s="31"/>
    </row>
    <row r="166" spans="3:19">
      <c r="C166" s="30"/>
      <c r="S166" s="31"/>
    </row>
    <row r="167" spans="3:19">
      <c r="C167" s="30"/>
      <c r="S167" s="31"/>
    </row>
    <row r="168" spans="3:19">
      <c r="C168" s="30"/>
      <c r="S168" s="31"/>
    </row>
    <row r="169" spans="3:19">
      <c r="C169" s="30"/>
      <c r="S169" s="31"/>
    </row>
    <row r="170" spans="3:19">
      <c r="C170" s="30"/>
      <c r="S170" s="31"/>
    </row>
    <row r="171" spans="3:19">
      <c r="C171" s="30"/>
      <c r="S171" s="31"/>
    </row>
    <row r="172" spans="3:19">
      <c r="C172" s="30"/>
      <c r="S172" s="31"/>
    </row>
    <row r="173" spans="3:19">
      <c r="C173" s="30"/>
      <c r="S173" s="31"/>
    </row>
    <row r="174" spans="3:19">
      <c r="C174" s="30"/>
      <c r="S174" s="31"/>
    </row>
    <row r="175" spans="3:19">
      <c r="C175" s="30"/>
      <c r="S175" s="31"/>
    </row>
    <row r="176" spans="3:19">
      <c r="C176" s="30"/>
      <c r="S176" s="31"/>
    </row>
    <row r="177" spans="3:19">
      <c r="C177" s="30"/>
      <c r="S177" s="31"/>
    </row>
    <row r="178" spans="3:19">
      <c r="C178" s="30"/>
      <c r="S178" s="31"/>
    </row>
    <row r="179" spans="3:19">
      <c r="C179" s="30"/>
      <c r="S179" s="31"/>
    </row>
    <row r="180" spans="3:19">
      <c r="C180" s="30"/>
      <c r="S180" s="31"/>
    </row>
    <row r="181" spans="3:19">
      <c r="C181" s="30"/>
      <c r="S181" s="31"/>
    </row>
    <row r="182" spans="3:19">
      <c r="C182" s="30"/>
      <c r="S182" s="31"/>
    </row>
    <row r="183" spans="3:19">
      <c r="C183" s="30"/>
      <c r="S183" s="31"/>
    </row>
    <row r="184" spans="3:19">
      <c r="C184" s="30"/>
      <c r="S184" s="31"/>
    </row>
    <row r="185" spans="3:19">
      <c r="C185" s="30"/>
      <c r="S185" s="31"/>
    </row>
    <row r="186" spans="3:19">
      <c r="C186" s="30"/>
      <c r="S186" s="31"/>
    </row>
    <row r="187" spans="3:19">
      <c r="C187" s="30"/>
      <c r="S187" s="31"/>
    </row>
    <row r="188" spans="3:19">
      <c r="C188" s="30"/>
      <c r="S188" s="31"/>
    </row>
    <row r="189" spans="3:19">
      <c r="C189" s="30"/>
      <c r="S189" s="31"/>
    </row>
    <row r="190" spans="3:19">
      <c r="C190" s="30"/>
      <c r="S190" s="31"/>
    </row>
    <row r="191" spans="3:19">
      <c r="C191" s="30"/>
      <c r="S191" s="31"/>
    </row>
    <row r="192" spans="3:19">
      <c r="C192" s="30"/>
      <c r="S192" s="31"/>
    </row>
    <row r="193" spans="3:19">
      <c r="C193" s="30"/>
      <c r="S193" s="31"/>
    </row>
    <row r="194" spans="3:19">
      <c r="C194" s="30"/>
      <c r="S194" s="31"/>
    </row>
    <row r="195" spans="3:19">
      <c r="C195" s="30"/>
      <c r="S195" s="31"/>
    </row>
    <row r="196" spans="3:19">
      <c r="C196" s="30"/>
      <c r="S196" s="31"/>
    </row>
    <row r="197" spans="3:19">
      <c r="C197" s="30"/>
      <c r="S197" s="31"/>
    </row>
    <row r="198" spans="3:19">
      <c r="C198" s="30"/>
      <c r="S198" s="31"/>
    </row>
    <row r="199" spans="3:19">
      <c r="C199" s="30"/>
      <c r="S199" s="31"/>
    </row>
    <row r="200" spans="3:19">
      <c r="C200" s="30"/>
      <c r="S200" s="31"/>
    </row>
    <row r="201" spans="3:19">
      <c r="C201" s="30"/>
      <c r="S201" s="31"/>
    </row>
    <row r="202" spans="3:19">
      <c r="C202" s="30"/>
      <c r="S202" s="31"/>
    </row>
    <row r="203" spans="3:19">
      <c r="C203" s="30"/>
      <c r="S203" s="31"/>
    </row>
    <row r="204" spans="3:19">
      <c r="C204" s="30"/>
      <c r="S204" s="31"/>
    </row>
    <row r="205" spans="3:19">
      <c r="C205" s="30"/>
      <c r="S205" s="31"/>
    </row>
    <row r="206" spans="3:19">
      <c r="C206" s="30"/>
      <c r="S206" s="31"/>
    </row>
    <row r="207" spans="3:19">
      <c r="C207" s="30"/>
      <c r="S207" s="31"/>
    </row>
    <row r="208" spans="3:19">
      <c r="C208" s="30"/>
      <c r="S208" s="31"/>
    </row>
    <row r="209" spans="3:19">
      <c r="C209" s="30"/>
      <c r="S209" s="31"/>
    </row>
    <row r="210" spans="3:19">
      <c r="C210" s="30"/>
      <c r="S210" s="31"/>
    </row>
    <row r="211" spans="3:19">
      <c r="C211" s="30"/>
      <c r="S211" s="31"/>
    </row>
    <row r="212" spans="3:19">
      <c r="C212" s="30"/>
      <c r="S212" s="31"/>
    </row>
    <row r="213" spans="3:19">
      <c r="C213" s="30"/>
      <c r="S213" s="31"/>
    </row>
    <row r="214" spans="3:19">
      <c r="C214" s="30"/>
      <c r="S214" s="31"/>
    </row>
    <row r="215" spans="3:19">
      <c r="C215" s="30"/>
      <c r="S215" s="31"/>
    </row>
    <row r="216" spans="3:19">
      <c r="C216" s="30"/>
      <c r="S216" s="31"/>
    </row>
    <row r="217" spans="3:19">
      <c r="C217" s="30"/>
      <c r="S217" s="31"/>
    </row>
    <row r="218" spans="3:19">
      <c r="C218" s="30"/>
      <c r="S218" s="31"/>
    </row>
    <row r="219" spans="3:19">
      <c r="C219" s="30"/>
      <c r="S219" s="31"/>
    </row>
    <row r="220" spans="3:19">
      <c r="C220" s="30"/>
      <c r="S220" s="31"/>
    </row>
    <row r="221" spans="3:19">
      <c r="C221" s="30"/>
      <c r="S221" s="31"/>
    </row>
    <row r="222" spans="3:19">
      <c r="C222" s="30"/>
      <c r="S222" s="31"/>
    </row>
    <row r="223" spans="3:19">
      <c r="C223" s="30"/>
      <c r="S223" s="31"/>
    </row>
    <row r="224" spans="3:19">
      <c r="C224" s="30"/>
      <c r="S224" s="31"/>
    </row>
    <row r="225" spans="3:19">
      <c r="C225" s="30"/>
      <c r="S225" s="31"/>
    </row>
    <row r="226" spans="3:19">
      <c r="C226" s="30"/>
      <c r="S226" s="31"/>
    </row>
    <row r="227" spans="3:19">
      <c r="C227" s="30"/>
      <c r="S227" s="31"/>
    </row>
    <row r="228" spans="3:19">
      <c r="C228" s="30"/>
      <c r="S228" s="31"/>
    </row>
    <row r="229" spans="3:19">
      <c r="C229" s="30"/>
      <c r="S229" s="31"/>
    </row>
    <row r="230" spans="3:19">
      <c r="C230" s="30"/>
      <c r="S230" s="31"/>
    </row>
    <row r="231" spans="3:19">
      <c r="C231" s="30"/>
      <c r="S231" s="31"/>
    </row>
    <row r="232" spans="3:19">
      <c r="C232" s="30"/>
      <c r="S232" s="31"/>
    </row>
    <row r="233" spans="3:19">
      <c r="C233" s="30"/>
      <c r="S233" s="31"/>
    </row>
    <row r="234" spans="3:19">
      <c r="C234" s="30"/>
      <c r="S234" s="31"/>
    </row>
    <row r="235" spans="3:19">
      <c r="C235" s="30"/>
      <c r="S235" s="31"/>
    </row>
    <row r="236" spans="3:19">
      <c r="C236" s="30"/>
      <c r="S236" s="31"/>
    </row>
  </sheetData>
  <sortState xmlns:xlrd2="http://schemas.microsoft.com/office/spreadsheetml/2017/richdata2" ref="C2:S21">
    <sortCondition descending="1" ref="P2:P21"/>
  </sortState>
  <mergeCells count="3">
    <mergeCell ref="A2:B2"/>
    <mergeCell ref="A3:B3"/>
    <mergeCell ref="A1:B1"/>
  </mergeCells>
  <phoneticPr fontId="15" type="noConversion"/>
  <conditionalFormatting sqref="Q22:Q1048576 Q2:Q17">
    <cfRule type="containsText" dxfId="27" priority="12" operator="containsText" text="On Going">
      <formula>NOT(ISERROR(SEARCH("On Going",Q2)))</formula>
    </cfRule>
    <cfRule type="containsText" dxfId="26" priority="13" operator="containsText" text="Finish">
      <formula>NOT(ISERROR(SEARCH("Finish",Q2)))</formula>
    </cfRule>
  </conditionalFormatting>
  <conditionalFormatting sqref="R22:R1048576 R2:R17">
    <cfRule type="beginsWith" dxfId="25" priority="10" operator="beginsWith" text="B">
      <formula>LEFT(R2,LEN("B"))="B"</formula>
    </cfRule>
    <cfRule type="containsText" dxfId="24" priority="11" operator="containsText" text="E">
      <formula>NOT(ISERROR(SEARCH("E",R2)))</formula>
    </cfRule>
  </conditionalFormatting>
  <conditionalFormatting sqref="C2:C17">
    <cfRule type="expression" dxfId="23" priority="7">
      <formula>P2=0%</formula>
    </cfRule>
    <cfRule type="expression" dxfId="22" priority="8">
      <formula>P2=100%</formula>
    </cfRule>
    <cfRule type="expression" dxfId="21" priority="9">
      <formula>P2&lt;100%</formula>
    </cfRule>
  </conditionalFormatting>
  <conditionalFormatting sqref="K2:K17">
    <cfRule type="containsText" dxfId="20" priority="1" operator="containsText" text="Academic">
      <formula>NOT(ISERROR(SEARCH("Academic",K2)))</formula>
    </cfRule>
    <cfRule type="containsText" dxfId="19" priority="2" operator="containsText" text="Financial">
      <formula>NOT(ISERROR(SEARCH("Financial",K2)))</formula>
    </cfRule>
    <cfRule type="containsText" dxfId="18" priority="3" operator="containsText" text="Personal">
      <formula>NOT(ISERROR(SEARCH("Personal",K2)))</formula>
    </cfRule>
  </conditionalFormatting>
  <conditionalFormatting sqref="P2:P17">
    <cfRule type="colorScale" priority="172">
      <colorScale>
        <cfvo type="min"/>
        <cfvo type="percentile" val="50"/>
        <cfvo type="max"/>
        <color rgb="FFF8696B"/>
        <color rgb="FFFFEB84"/>
        <color rgb="FF63BE7B"/>
      </colorScale>
    </cfRule>
  </conditionalFormatting>
  <dataValidations count="2">
    <dataValidation type="list" allowBlank="1" showInputMessage="1" showErrorMessage="1" sqref="R2:R17" xr:uid="{E33692E0-6A4F-4F62-ABA8-3018F20D1CB2}">
      <formula1>"EBOOK,BOOK"</formula1>
    </dataValidation>
    <dataValidation type="list" allowBlank="1" showInputMessage="1" showErrorMessage="1" sqref="K2:K17" xr:uid="{286DAC30-2A2B-4DCD-ACAC-8F3553C4DAFB}">
      <formula1>"Personal,Financial,Academic"</formula1>
    </dataValidation>
  </dataValidations>
  <hyperlinks>
    <hyperlink ref="A2:B2" location="Dashboard!A1" display="DASHBOARD" xr:uid="{2657B79F-5AB7-4D25-9C73-E5F4B6041487}"/>
  </hyperlinks>
  <pageMargins left="0.7" right="0.7" top="0.75" bottom="0.75" header="0.3" footer="0.3"/>
  <pageSetup fitToWidth="0" fitToHeight="0"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adang kurnia</dc:creator>
  <cp:keywords/>
  <dc:description/>
  <cp:lastModifiedBy>adang kurnia</cp:lastModifiedBy>
  <cp:revision/>
  <dcterms:created xsi:type="dcterms:W3CDTF">2022-07-02T08:56:34Z</dcterms:created>
  <dcterms:modified xsi:type="dcterms:W3CDTF">2022-12-13T21:28:45Z</dcterms:modified>
  <cp:category/>
  <cp:contentStatus/>
</cp:coreProperties>
</file>